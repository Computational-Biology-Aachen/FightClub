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\Documents\SynMibi\CRC1535_B03\I001_DH_CRC1535_B03\assays\S008_E001_DH\dataset\240828DH_S008_E001_prism_data\"/>
    </mc:Choice>
  </mc:AlternateContent>
  <xr:revisionPtr revIDLastSave="0" documentId="13_ncr:1_{0955A243-8587-4F47-8557-1B3E2730039F}" xr6:coauthVersionLast="47" xr6:coauthVersionMax="47" xr10:uidLastSave="{00000000-0000-0000-0000-000000000000}"/>
  <bookViews>
    <workbookView xWindow="28680" yWindow="-6030" windowWidth="29040" windowHeight="17520" tabRatio="898" activeTab="10" xr2:uid="{0D7B03BD-BCA9-4CEE-8A64-81758894AE62}"/>
  </bookViews>
  <sheets>
    <sheet name="1_2)7942_1_UMa_0.1" sheetId="1" r:id="rId1"/>
    <sheet name="3_4)7942_1_UMa_0.2" sheetId="2" r:id="rId2"/>
    <sheet name="5_6)7942_1_UMa_0.5" sheetId="3" r:id="rId3"/>
    <sheet name="7_8)7942_1_UMa_1" sheetId="4" r:id="rId4"/>
    <sheet name="9_10)7942_1" sheetId="5" r:id="rId5"/>
    <sheet name="11)7942_1_C" sheetId="6" r:id="rId6"/>
    <sheet name="12)7942_1_UMa_0.1_C" sheetId="7" r:id="rId7"/>
    <sheet name="13)7942_1_UMa_0.2_C" sheetId="8" r:id="rId8"/>
    <sheet name="14)7942_1_UMa_0.5_C" sheetId="9" r:id="rId9"/>
    <sheet name="15)7942_1_UMa_1_C" sheetId="10" r:id="rId10"/>
    <sheet name="16)UMa_1_C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1" l="1"/>
  <c r="B50" i="11"/>
  <c r="E50" i="11" s="1"/>
  <c r="E49" i="11"/>
  <c r="D49" i="11"/>
  <c r="C49" i="11"/>
  <c r="B49" i="11"/>
  <c r="C48" i="11"/>
  <c r="B48" i="11"/>
  <c r="E48" i="11" s="1"/>
  <c r="C47" i="11"/>
  <c r="B47" i="11"/>
  <c r="E47" i="11" s="1"/>
  <c r="C46" i="11"/>
  <c r="B46" i="11"/>
  <c r="E46" i="11" s="1"/>
  <c r="E45" i="11"/>
  <c r="D45" i="11"/>
  <c r="C45" i="11"/>
  <c r="B45" i="11"/>
  <c r="C44" i="11"/>
  <c r="B44" i="11"/>
  <c r="E44" i="11" s="1"/>
  <c r="C43" i="11"/>
  <c r="B43" i="11"/>
  <c r="E43" i="11" s="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C50" i="10"/>
  <c r="B50" i="10"/>
  <c r="E50" i="10" s="1"/>
  <c r="C49" i="10"/>
  <c r="B49" i="10"/>
  <c r="E49" i="10" s="1"/>
  <c r="C48" i="10"/>
  <c r="B48" i="10"/>
  <c r="E48" i="10" s="1"/>
  <c r="C47" i="10"/>
  <c r="B47" i="10"/>
  <c r="E47" i="10" s="1"/>
  <c r="C46" i="10"/>
  <c r="B46" i="10"/>
  <c r="E46" i="10" s="1"/>
  <c r="C45" i="10"/>
  <c r="B45" i="10"/>
  <c r="E45" i="10" s="1"/>
  <c r="C44" i="10"/>
  <c r="B44" i="10"/>
  <c r="E44" i="10" s="1"/>
  <c r="C43" i="10"/>
  <c r="B43" i="10"/>
  <c r="E43" i="10" s="1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C50" i="9"/>
  <c r="B50" i="9"/>
  <c r="E50" i="9" s="1"/>
  <c r="C49" i="9"/>
  <c r="B49" i="9"/>
  <c r="E49" i="9" s="1"/>
  <c r="C48" i="9"/>
  <c r="B48" i="9"/>
  <c r="D48" i="9" s="1"/>
  <c r="C47" i="9"/>
  <c r="B47" i="9"/>
  <c r="D47" i="9" s="1"/>
  <c r="C46" i="9"/>
  <c r="B46" i="9"/>
  <c r="E46" i="9" s="1"/>
  <c r="C45" i="9"/>
  <c r="B45" i="9"/>
  <c r="E45" i="9" s="1"/>
  <c r="C44" i="9"/>
  <c r="B44" i="9"/>
  <c r="E44" i="9" s="1"/>
  <c r="C43" i="9"/>
  <c r="B43" i="9"/>
  <c r="E43" i="9" s="1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C50" i="8"/>
  <c r="B50" i="8"/>
  <c r="E50" i="8" s="1"/>
  <c r="C49" i="8"/>
  <c r="B49" i="8"/>
  <c r="E49" i="8" s="1"/>
  <c r="C48" i="8"/>
  <c r="B48" i="8"/>
  <c r="D48" i="8" s="1"/>
  <c r="C47" i="8"/>
  <c r="B47" i="8"/>
  <c r="E47" i="8" s="1"/>
  <c r="C46" i="8"/>
  <c r="B46" i="8"/>
  <c r="E46" i="8" s="1"/>
  <c r="C45" i="8"/>
  <c r="B45" i="8"/>
  <c r="E45" i="8" s="1"/>
  <c r="C44" i="8"/>
  <c r="B44" i="8"/>
  <c r="E44" i="8" s="1"/>
  <c r="C43" i="8"/>
  <c r="B43" i="8"/>
  <c r="D43" i="8" s="1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C50" i="7"/>
  <c r="B50" i="7"/>
  <c r="E50" i="7" s="1"/>
  <c r="E49" i="7"/>
  <c r="D49" i="7"/>
  <c r="C49" i="7"/>
  <c r="B49" i="7"/>
  <c r="C48" i="7"/>
  <c r="B48" i="7"/>
  <c r="E48" i="7" s="1"/>
  <c r="C47" i="7"/>
  <c r="B47" i="7"/>
  <c r="D47" i="7" s="1"/>
  <c r="C46" i="7"/>
  <c r="B46" i="7"/>
  <c r="E46" i="7" s="1"/>
  <c r="E45" i="7"/>
  <c r="D45" i="7"/>
  <c r="C45" i="7"/>
  <c r="B45" i="7"/>
  <c r="C44" i="7"/>
  <c r="B44" i="7"/>
  <c r="E44" i="7" s="1"/>
  <c r="C43" i="7"/>
  <c r="B43" i="7"/>
  <c r="D43" i="7" s="1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B33" i="6"/>
  <c r="C33" i="6"/>
  <c r="B44" i="6"/>
  <c r="D44" i="6"/>
  <c r="C44" i="6"/>
  <c r="B45" i="6"/>
  <c r="C45" i="6"/>
  <c r="E45" i="6" s="1"/>
  <c r="B46" i="6"/>
  <c r="C46" i="6"/>
  <c r="B47" i="6"/>
  <c r="E47" i="6" s="1"/>
  <c r="C47" i="6"/>
  <c r="B48" i="6"/>
  <c r="E48" i="6" s="1"/>
  <c r="C48" i="6"/>
  <c r="B49" i="6"/>
  <c r="E49" i="6" s="1"/>
  <c r="C49" i="6"/>
  <c r="B50" i="6"/>
  <c r="E50" i="6" s="1"/>
  <c r="C50" i="6"/>
  <c r="D47" i="6"/>
  <c r="D45" i="6"/>
  <c r="D46" i="6"/>
  <c r="E46" i="6"/>
  <c r="E43" i="6"/>
  <c r="D43" i="6"/>
  <c r="C43" i="6"/>
  <c r="B43" i="6"/>
  <c r="D33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E50" i="5"/>
  <c r="D50" i="5"/>
  <c r="C50" i="5"/>
  <c r="B50" i="5"/>
  <c r="G50" i="5" s="1"/>
  <c r="E49" i="5"/>
  <c r="D49" i="5"/>
  <c r="C49" i="5"/>
  <c r="B49" i="5"/>
  <c r="G49" i="5" s="1"/>
  <c r="E48" i="5"/>
  <c r="D48" i="5"/>
  <c r="G48" i="5" s="1"/>
  <c r="C48" i="5"/>
  <c r="B48" i="5"/>
  <c r="E47" i="5"/>
  <c r="D47" i="5"/>
  <c r="C47" i="5"/>
  <c r="B47" i="5"/>
  <c r="F47" i="5" s="1"/>
  <c r="E46" i="5"/>
  <c r="D46" i="5"/>
  <c r="C46" i="5"/>
  <c r="B46" i="5"/>
  <c r="G46" i="5" s="1"/>
  <c r="G45" i="5"/>
  <c r="F45" i="5"/>
  <c r="E45" i="5"/>
  <c r="D45" i="5"/>
  <c r="C45" i="5"/>
  <c r="B45" i="5"/>
  <c r="E44" i="5"/>
  <c r="D44" i="5"/>
  <c r="C44" i="5"/>
  <c r="B44" i="5"/>
  <c r="G44" i="5" s="1"/>
  <c r="E43" i="5"/>
  <c r="D43" i="5"/>
  <c r="C43" i="5"/>
  <c r="B43" i="5"/>
  <c r="G43" i="5" s="1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50" i="4"/>
  <c r="D50" i="4"/>
  <c r="C50" i="4"/>
  <c r="B50" i="4"/>
  <c r="G50" i="4" s="1"/>
  <c r="E49" i="4"/>
  <c r="D49" i="4"/>
  <c r="C49" i="4"/>
  <c r="B49" i="4"/>
  <c r="F49" i="4" s="1"/>
  <c r="E48" i="4"/>
  <c r="D48" i="4"/>
  <c r="G48" i="4" s="1"/>
  <c r="C48" i="4"/>
  <c r="B48" i="4"/>
  <c r="E47" i="4"/>
  <c r="D47" i="4"/>
  <c r="C47" i="4"/>
  <c r="B47" i="4"/>
  <c r="G47" i="4" s="1"/>
  <c r="E46" i="4"/>
  <c r="D46" i="4"/>
  <c r="C46" i="4"/>
  <c r="B46" i="4"/>
  <c r="G46" i="4" s="1"/>
  <c r="G45" i="4"/>
  <c r="F45" i="4"/>
  <c r="E45" i="4"/>
  <c r="D45" i="4"/>
  <c r="C45" i="4"/>
  <c r="B45" i="4"/>
  <c r="E44" i="4"/>
  <c r="D44" i="4"/>
  <c r="C44" i="4"/>
  <c r="B44" i="4"/>
  <c r="G44" i="4" s="1"/>
  <c r="E43" i="4"/>
  <c r="D43" i="4"/>
  <c r="C43" i="4"/>
  <c r="B43" i="4"/>
  <c r="G43" i="4" s="1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50" i="3"/>
  <c r="D50" i="3"/>
  <c r="C50" i="3"/>
  <c r="B50" i="3"/>
  <c r="G50" i="3" s="1"/>
  <c r="E49" i="3"/>
  <c r="D49" i="3"/>
  <c r="C49" i="3"/>
  <c r="B49" i="3"/>
  <c r="G49" i="3" s="1"/>
  <c r="E48" i="3"/>
  <c r="D48" i="3"/>
  <c r="F48" i="3" s="1"/>
  <c r="C48" i="3"/>
  <c r="B48" i="3"/>
  <c r="E47" i="3"/>
  <c r="D47" i="3"/>
  <c r="C47" i="3"/>
  <c r="B47" i="3"/>
  <c r="G47" i="3" s="1"/>
  <c r="E46" i="3"/>
  <c r="D46" i="3"/>
  <c r="C46" i="3"/>
  <c r="B46" i="3"/>
  <c r="G46" i="3" s="1"/>
  <c r="G45" i="3"/>
  <c r="F45" i="3"/>
  <c r="E45" i="3"/>
  <c r="D45" i="3"/>
  <c r="C45" i="3"/>
  <c r="B45" i="3"/>
  <c r="E44" i="3"/>
  <c r="D44" i="3"/>
  <c r="C44" i="3"/>
  <c r="B44" i="3"/>
  <c r="G44" i="3" s="1"/>
  <c r="E43" i="3"/>
  <c r="D43" i="3"/>
  <c r="C43" i="3"/>
  <c r="B43" i="3"/>
  <c r="G43" i="3" s="1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50" i="2"/>
  <c r="D50" i="2"/>
  <c r="C50" i="2"/>
  <c r="B50" i="2"/>
  <c r="G50" i="2" s="1"/>
  <c r="E49" i="2"/>
  <c r="D49" i="2"/>
  <c r="C49" i="2"/>
  <c r="B49" i="2"/>
  <c r="G49" i="2" s="1"/>
  <c r="E48" i="2"/>
  <c r="D48" i="2"/>
  <c r="C48" i="2"/>
  <c r="B48" i="2"/>
  <c r="G48" i="2" s="1"/>
  <c r="E47" i="2"/>
  <c r="D47" i="2"/>
  <c r="G47" i="2" s="1"/>
  <c r="C47" i="2"/>
  <c r="B47" i="2"/>
  <c r="E46" i="2"/>
  <c r="D46" i="2"/>
  <c r="C46" i="2"/>
  <c r="B46" i="2"/>
  <c r="F46" i="2" s="1"/>
  <c r="E45" i="2"/>
  <c r="D45" i="2"/>
  <c r="C45" i="2"/>
  <c r="B45" i="2"/>
  <c r="G45" i="2" s="1"/>
  <c r="G44" i="2"/>
  <c r="F44" i="2"/>
  <c r="E44" i="2"/>
  <c r="D44" i="2"/>
  <c r="C44" i="2"/>
  <c r="B44" i="2"/>
  <c r="E43" i="2"/>
  <c r="D43" i="2"/>
  <c r="C43" i="2"/>
  <c r="B43" i="2"/>
  <c r="G43" i="2" s="1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B43" i="1"/>
  <c r="G44" i="1"/>
  <c r="G45" i="1"/>
  <c r="G46" i="1"/>
  <c r="G47" i="1"/>
  <c r="G48" i="1"/>
  <c r="G49" i="1"/>
  <c r="G50" i="1"/>
  <c r="G43" i="1"/>
  <c r="F44" i="1"/>
  <c r="F45" i="1"/>
  <c r="F46" i="1"/>
  <c r="F47" i="1"/>
  <c r="F48" i="1"/>
  <c r="F49" i="1"/>
  <c r="F50" i="1"/>
  <c r="F43" i="1"/>
  <c r="E43" i="1"/>
  <c r="C43" i="1"/>
  <c r="D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B44" i="1"/>
  <c r="B45" i="1"/>
  <c r="B46" i="1"/>
  <c r="B47" i="1"/>
  <c r="B48" i="1"/>
  <c r="B49" i="1"/>
  <c r="B50" i="1"/>
  <c r="C40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33" i="1"/>
  <c r="B33" i="1"/>
  <c r="E40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33" i="1"/>
  <c r="D33" i="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Y30" i="6"/>
  <c r="X30" i="6"/>
  <c r="W30" i="6"/>
  <c r="V30" i="6"/>
  <c r="U30" i="6"/>
  <c r="T30" i="6"/>
  <c r="S30" i="6"/>
  <c r="R30" i="6"/>
  <c r="Q30" i="6"/>
  <c r="L30" i="6"/>
  <c r="J30" i="6"/>
  <c r="I30" i="6"/>
  <c r="H30" i="6"/>
  <c r="G30" i="6"/>
  <c r="F30" i="6"/>
  <c r="E30" i="6"/>
  <c r="D30" i="6"/>
  <c r="C30" i="6"/>
  <c r="B30" i="6"/>
  <c r="Y29" i="6"/>
  <c r="Q29" i="6"/>
  <c r="O29" i="6"/>
  <c r="M29" i="6"/>
  <c r="K29" i="6"/>
  <c r="I29" i="6"/>
  <c r="Y27" i="6"/>
  <c r="J27" i="6"/>
  <c r="I27" i="6"/>
  <c r="T26" i="6"/>
  <c r="S26" i="6"/>
  <c r="R26" i="6"/>
  <c r="Q26" i="6"/>
  <c r="D26" i="6"/>
  <c r="C26" i="6"/>
  <c r="B26" i="6"/>
  <c r="Y25" i="6"/>
  <c r="N25" i="6"/>
  <c r="M25" i="6"/>
  <c r="L25" i="6"/>
  <c r="K25" i="6"/>
  <c r="J25" i="6"/>
  <c r="I25" i="6"/>
  <c r="X24" i="6"/>
  <c r="W24" i="6"/>
  <c r="V24" i="6"/>
  <c r="U24" i="6"/>
  <c r="T24" i="6"/>
  <c r="S24" i="6"/>
  <c r="R24" i="6"/>
  <c r="Q24" i="6"/>
  <c r="H24" i="6"/>
  <c r="G24" i="6"/>
  <c r="F24" i="6"/>
  <c r="E24" i="6"/>
  <c r="D24" i="6"/>
  <c r="C24" i="6"/>
  <c r="B24" i="6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B28" i="1"/>
  <c r="W20" i="11"/>
  <c r="V20" i="11"/>
  <c r="S20" i="11"/>
  <c r="R20" i="11"/>
  <c r="O20" i="11"/>
  <c r="N20" i="11"/>
  <c r="K20" i="11"/>
  <c r="J20" i="11"/>
  <c r="G20" i="11"/>
  <c r="F20" i="11"/>
  <c r="C20" i="11"/>
  <c r="B20" i="11"/>
  <c r="W19" i="11"/>
  <c r="V19" i="11"/>
  <c r="S19" i="11"/>
  <c r="R19" i="11"/>
  <c r="O19" i="11"/>
  <c r="N19" i="11"/>
  <c r="K19" i="11"/>
  <c r="J19" i="11"/>
  <c r="G19" i="11"/>
  <c r="F19" i="11"/>
  <c r="C19" i="11"/>
  <c r="B19" i="11"/>
  <c r="W18" i="11"/>
  <c r="V18" i="11"/>
  <c r="S18" i="11"/>
  <c r="R18" i="11"/>
  <c r="O18" i="11"/>
  <c r="N18" i="11"/>
  <c r="K18" i="11"/>
  <c r="J18" i="11"/>
  <c r="G18" i="11"/>
  <c r="F18" i="11"/>
  <c r="C18" i="11"/>
  <c r="B18" i="11"/>
  <c r="W17" i="11"/>
  <c r="V17" i="11"/>
  <c r="S17" i="11"/>
  <c r="R17" i="11"/>
  <c r="O17" i="11"/>
  <c r="N17" i="11"/>
  <c r="K17" i="11"/>
  <c r="J17" i="11"/>
  <c r="G17" i="11"/>
  <c r="F17" i="11"/>
  <c r="C17" i="11"/>
  <c r="B17" i="11"/>
  <c r="W16" i="11"/>
  <c r="V16" i="11"/>
  <c r="S16" i="11"/>
  <c r="R16" i="11"/>
  <c r="O16" i="11"/>
  <c r="N16" i="11"/>
  <c r="K16" i="11"/>
  <c r="J16" i="11"/>
  <c r="G16" i="11"/>
  <c r="F16" i="11"/>
  <c r="C16" i="11"/>
  <c r="B16" i="11"/>
  <c r="W15" i="11"/>
  <c r="V15" i="11"/>
  <c r="S15" i="11"/>
  <c r="R15" i="11"/>
  <c r="O15" i="11"/>
  <c r="N15" i="11"/>
  <c r="K15" i="11"/>
  <c r="J15" i="11"/>
  <c r="G15" i="11"/>
  <c r="F15" i="11"/>
  <c r="C15" i="11"/>
  <c r="B15" i="11"/>
  <c r="W14" i="11"/>
  <c r="V14" i="11"/>
  <c r="S14" i="11"/>
  <c r="R14" i="11"/>
  <c r="O14" i="11"/>
  <c r="N14" i="11"/>
  <c r="K14" i="11"/>
  <c r="J14" i="11"/>
  <c r="G14" i="11"/>
  <c r="F14" i="11"/>
  <c r="C14" i="11"/>
  <c r="B14" i="11"/>
  <c r="W13" i="11"/>
  <c r="V13" i="11"/>
  <c r="S13" i="11"/>
  <c r="R13" i="11"/>
  <c r="O13" i="11"/>
  <c r="N13" i="11"/>
  <c r="K13" i="11"/>
  <c r="J13" i="11"/>
  <c r="G13" i="11"/>
  <c r="F13" i="11"/>
  <c r="C13" i="11"/>
  <c r="B13" i="11"/>
  <c r="W20" i="10"/>
  <c r="V20" i="10"/>
  <c r="S20" i="10"/>
  <c r="R20" i="10"/>
  <c r="O20" i="10"/>
  <c r="N20" i="10"/>
  <c r="K20" i="10"/>
  <c r="J20" i="10"/>
  <c r="G20" i="10"/>
  <c r="F20" i="10"/>
  <c r="C20" i="10"/>
  <c r="B20" i="10"/>
  <c r="W19" i="10"/>
  <c r="V19" i="10"/>
  <c r="S19" i="10"/>
  <c r="R19" i="10"/>
  <c r="O19" i="10"/>
  <c r="N19" i="10"/>
  <c r="K19" i="10"/>
  <c r="J19" i="10"/>
  <c r="G19" i="10"/>
  <c r="F19" i="10"/>
  <c r="C19" i="10"/>
  <c r="B19" i="10"/>
  <c r="W18" i="10"/>
  <c r="V18" i="10"/>
  <c r="S18" i="10"/>
  <c r="R18" i="10"/>
  <c r="O18" i="10"/>
  <c r="N18" i="10"/>
  <c r="K18" i="10"/>
  <c r="J18" i="10"/>
  <c r="G18" i="10"/>
  <c r="F18" i="10"/>
  <c r="C18" i="10"/>
  <c r="B18" i="10"/>
  <c r="W17" i="10"/>
  <c r="V17" i="10"/>
  <c r="S17" i="10"/>
  <c r="R17" i="10"/>
  <c r="O17" i="10"/>
  <c r="N17" i="10"/>
  <c r="K17" i="10"/>
  <c r="J17" i="10"/>
  <c r="G17" i="10"/>
  <c r="F17" i="10"/>
  <c r="C17" i="10"/>
  <c r="B17" i="10"/>
  <c r="W16" i="10"/>
  <c r="V16" i="10"/>
  <c r="S16" i="10"/>
  <c r="R16" i="10"/>
  <c r="O16" i="10"/>
  <c r="N16" i="10"/>
  <c r="K16" i="10"/>
  <c r="J16" i="10"/>
  <c r="G16" i="10"/>
  <c r="F16" i="10"/>
  <c r="C16" i="10"/>
  <c r="B16" i="10"/>
  <c r="W15" i="10"/>
  <c r="V15" i="10"/>
  <c r="S15" i="10"/>
  <c r="R15" i="10"/>
  <c r="O15" i="10"/>
  <c r="N15" i="10"/>
  <c r="K15" i="10"/>
  <c r="J15" i="10"/>
  <c r="G15" i="10"/>
  <c r="F15" i="10"/>
  <c r="C15" i="10"/>
  <c r="B15" i="10"/>
  <c r="W14" i="10"/>
  <c r="V14" i="10"/>
  <c r="S14" i="10"/>
  <c r="R14" i="10"/>
  <c r="O14" i="10"/>
  <c r="N14" i="10"/>
  <c r="K14" i="10"/>
  <c r="J14" i="10"/>
  <c r="G14" i="10"/>
  <c r="F14" i="10"/>
  <c r="C14" i="10"/>
  <c r="B14" i="10"/>
  <c r="W13" i="10"/>
  <c r="V13" i="10"/>
  <c r="S13" i="10"/>
  <c r="R13" i="10"/>
  <c r="O13" i="10"/>
  <c r="N13" i="10"/>
  <c r="K13" i="10"/>
  <c r="J13" i="10"/>
  <c r="G13" i="10"/>
  <c r="F13" i="10"/>
  <c r="C13" i="10"/>
  <c r="B13" i="10"/>
  <c r="W20" i="9"/>
  <c r="V20" i="9"/>
  <c r="S20" i="9"/>
  <c r="R20" i="9"/>
  <c r="O20" i="9"/>
  <c r="N20" i="9"/>
  <c r="K20" i="9"/>
  <c r="J20" i="9"/>
  <c r="G20" i="9"/>
  <c r="F20" i="9"/>
  <c r="C20" i="9"/>
  <c r="B20" i="9"/>
  <c r="W19" i="9"/>
  <c r="V19" i="9"/>
  <c r="S19" i="9"/>
  <c r="R19" i="9"/>
  <c r="O19" i="9"/>
  <c r="N19" i="9"/>
  <c r="K19" i="9"/>
  <c r="J19" i="9"/>
  <c r="G19" i="9"/>
  <c r="F19" i="9"/>
  <c r="C19" i="9"/>
  <c r="B19" i="9"/>
  <c r="W18" i="9"/>
  <c r="V18" i="9"/>
  <c r="S18" i="9"/>
  <c r="R18" i="9"/>
  <c r="O18" i="9"/>
  <c r="N18" i="9"/>
  <c r="K18" i="9"/>
  <c r="J18" i="9"/>
  <c r="G18" i="9"/>
  <c r="F18" i="9"/>
  <c r="C18" i="9"/>
  <c r="B18" i="9"/>
  <c r="W17" i="9"/>
  <c r="V17" i="9"/>
  <c r="S17" i="9"/>
  <c r="R17" i="9"/>
  <c r="O17" i="9"/>
  <c r="N17" i="9"/>
  <c r="K17" i="9"/>
  <c r="J17" i="9"/>
  <c r="G17" i="9"/>
  <c r="F17" i="9"/>
  <c r="C17" i="9"/>
  <c r="B17" i="9"/>
  <c r="W16" i="9"/>
  <c r="V16" i="9"/>
  <c r="S16" i="9"/>
  <c r="R16" i="9"/>
  <c r="O16" i="9"/>
  <c r="N16" i="9"/>
  <c r="K16" i="9"/>
  <c r="J16" i="9"/>
  <c r="G16" i="9"/>
  <c r="F16" i="9"/>
  <c r="C16" i="9"/>
  <c r="B16" i="9"/>
  <c r="W15" i="9"/>
  <c r="V15" i="9"/>
  <c r="S15" i="9"/>
  <c r="R15" i="9"/>
  <c r="O15" i="9"/>
  <c r="N15" i="9"/>
  <c r="K15" i="9"/>
  <c r="J15" i="9"/>
  <c r="G15" i="9"/>
  <c r="F15" i="9"/>
  <c r="C15" i="9"/>
  <c r="B15" i="9"/>
  <c r="W14" i="9"/>
  <c r="V14" i="9"/>
  <c r="S14" i="9"/>
  <c r="R14" i="9"/>
  <c r="O14" i="9"/>
  <c r="N14" i="9"/>
  <c r="K14" i="9"/>
  <c r="J14" i="9"/>
  <c r="G14" i="9"/>
  <c r="F14" i="9"/>
  <c r="C14" i="9"/>
  <c r="B14" i="9"/>
  <c r="W13" i="9"/>
  <c r="V13" i="9"/>
  <c r="S13" i="9"/>
  <c r="R13" i="9"/>
  <c r="O13" i="9"/>
  <c r="N13" i="9"/>
  <c r="K13" i="9"/>
  <c r="J13" i="9"/>
  <c r="G13" i="9"/>
  <c r="F13" i="9"/>
  <c r="C13" i="9"/>
  <c r="B13" i="9"/>
  <c r="W20" i="8"/>
  <c r="V20" i="8"/>
  <c r="S20" i="8"/>
  <c r="R20" i="8"/>
  <c r="O20" i="8"/>
  <c r="N20" i="8"/>
  <c r="K20" i="8"/>
  <c r="J20" i="8"/>
  <c r="G20" i="8"/>
  <c r="F20" i="8"/>
  <c r="C20" i="8"/>
  <c r="B20" i="8"/>
  <c r="W19" i="8"/>
  <c r="V19" i="8"/>
  <c r="S19" i="8"/>
  <c r="R19" i="8"/>
  <c r="O19" i="8"/>
  <c r="N19" i="8"/>
  <c r="K19" i="8"/>
  <c r="J19" i="8"/>
  <c r="G19" i="8"/>
  <c r="F19" i="8"/>
  <c r="C19" i="8"/>
  <c r="B19" i="8"/>
  <c r="W18" i="8"/>
  <c r="V18" i="8"/>
  <c r="S18" i="8"/>
  <c r="R18" i="8"/>
  <c r="O18" i="8"/>
  <c r="N18" i="8"/>
  <c r="K18" i="8"/>
  <c r="J18" i="8"/>
  <c r="G18" i="8"/>
  <c r="F18" i="8"/>
  <c r="C18" i="8"/>
  <c r="B18" i="8"/>
  <c r="W17" i="8"/>
  <c r="V17" i="8"/>
  <c r="S17" i="8"/>
  <c r="R17" i="8"/>
  <c r="O17" i="8"/>
  <c r="N17" i="8"/>
  <c r="K17" i="8"/>
  <c r="J17" i="8"/>
  <c r="G17" i="8"/>
  <c r="F17" i="8"/>
  <c r="C17" i="8"/>
  <c r="B17" i="8"/>
  <c r="W16" i="8"/>
  <c r="V16" i="8"/>
  <c r="S16" i="8"/>
  <c r="R16" i="8"/>
  <c r="O16" i="8"/>
  <c r="N16" i="8"/>
  <c r="K16" i="8"/>
  <c r="J16" i="8"/>
  <c r="G16" i="8"/>
  <c r="F16" i="8"/>
  <c r="C16" i="8"/>
  <c r="B16" i="8"/>
  <c r="W15" i="8"/>
  <c r="V15" i="8"/>
  <c r="S15" i="8"/>
  <c r="R15" i="8"/>
  <c r="O15" i="8"/>
  <c r="N15" i="8"/>
  <c r="K15" i="8"/>
  <c r="J15" i="8"/>
  <c r="G15" i="8"/>
  <c r="F15" i="8"/>
  <c r="C15" i="8"/>
  <c r="B15" i="8"/>
  <c r="W14" i="8"/>
  <c r="V14" i="8"/>
  <c r="S14" i="8"/>
  <c r="R14" i="8"/>
  <c r="O14" i="8"/>
  <c r="N14" i="8"/>
  <c r="K14" i="8"/>
  <c r="J14" i="8"/>
  <c r="G14" i="8"/>
  <c r="F14" i="8"/>
  <c r="C14" i="8"/>
  <c r="B14" i="8"/>
  <c r="W13" i="8"/>
  <c r="V13" i="8"/>
  <c r="S13" i="8"/>
  <c r="R13" i="8"/>
  <c r="O13" i="8"/>
  <c r="N13" i="8"/>
  <c r="K13" i="8"/>
  <c r="J13" i="8"/>
  <c r="G13" i="8"/>
  <c r="F13" i="8"/>
  <c r="C13" i="8"/>
  <c r="B13" i="8"/>
  <c r="W20" i="7"/>
  <c r="V20" i="7"/>
  <c r="S20" i="7"/>
  <c r="R20" i="7"/>
  <c r="O20" i="7"/>
  <c r="N20" i="7"/>
  <c r="K20" i="7"/>
  <c r="J20" i="7"/>
  <c r="G20" i="7"/>
  <c r="F20" i="7"/>
  <c r="C20" i="7"/>
  <c r="B20" i="7"/>
  <c r="W19" i="7"/>
  <c r="V19" i="7"/>
  <c r="S19" i="7"/>
  <c r="R19" i="7"/>
  <c r="O19" i="7"/>
  <c r="N19" i="7"/>
  <c r="K19" i="7"/>
  <c r="J19" i="7"/>
  <c r="G19" i="7"/>
  <c r="F19" i="7"/>
  <c r="C19" i="7"/>
  <c r="B19" i="7"/>
  <c r="W18" i="7"/>
  <c r="V18" i="7"/>
  <c r="S18" i="7"/>
  <c r="R18" i="7"/>
  <c r="O18" i="7"/>
  <c r="N18" i="7"/>
  <c r="K18" i="7"/>
  <c r="J18" i="7"/>
  <c r="G18" i="7"/>
  <c r="F18" i="7"/>
  <c r="C18" i="7"/>
  <c r="B18" i="7"/>
  <c r="W17" i="7"/>
  <c r="V17" i="7"/>
  <c r="S17" i="7"/>
  <c r="R17" i="7"/>
  <c r="O17" i="7"/>
  <c r="N17" i="7"/>
  <c r="K17" i="7"/>
  <c r="J17" i="7"/>
  <c r="G17" i="7"/>
  <c r="F17" i="7"/>
  <c r="C17" i="7"/>
  <c r="B17" i="7"/>
  <c r="W16" i="7"/>
  <c r="V16" i="7"/>
  <c r="S16" i="7"/>
  <c r="R16" i="7"/>
  <c r="O16" i="7"/>
  <c r="N16" i="7"/>
  <c r="K16" i="7"/>
  <c r="J16" i="7"/>
  <c r="G16" i="7"/>
  <c r="F16" i="7"/>
  <c r="C16" i="7"/>
  <c r="B16" i="7"/>
  <c r="W15" i="7"/>
  <c r="V15" i="7"/>
  <c r="S15" i="7"/>
  <c r="R15" i="7"/>
  <c r="O15" i="7"/>
  <c r="N15" i="7"/>
  <c r="K15" i="7"/>
  <c r="J15" i="7"/>
  <c r="G15" i="7"/>
  <c r="F15" i="7"/>
  <c r="C15" i="7"/>
  <c r="B15" i="7"/>
  <c r="W14" i="7"/>
  <c r="V14" i="7"/>
  <c r="S14" i="7"/>
  <c r="R14" i="7"/>
  <c r="O14" i="7"/>
  <c r="N14" i="7"/>
  <c r="K14" i="7"/>
  <c r="J14" i="7"/>
  <c r="G14" i="7"/>
  <c r="F14" i="7"/>
  <c r="C14" i="7"/>
  <c r="B14" i="7"/>
  <c r="W13" i="7"/>
  <c r="V13" i="7"/>
  <c r="S13" i="7"/>
  <c r="R13" i="7"/>
  <c r="O13" i="7"/>
  <c r="N13" i="7"/>
  <c r="K13" i="7"/>
  <c r="J13" i="7"/>
  <c r="G13" i="7"/>
  <c r="F13" i="7"/>
  <c r="C13" i="7"/>
  <c r="B13" i="7"/>
  <c r="V14" i="6"/>
  <c r="Y24" i="6" s="1"/>
  <c r="W14" i="6"/>
  <c r="V15" i="6"/>
  <c r="X25" i="6" s="1"/>
  <c r="W15" i="6"/>
  <c r="V16" i="6"/>
  <c r="Y26" i="6" s="1"/>
  <c r="W16" i="6"/>
  <c r="V17" i="6"/>
  <c r="X27" i="6" s="1"/>
  <c r="W17" i="6"/>
  <c r="V18" i="6"/>
  <c r="W18" i="6"/>
  <c r="V19" i="6"/>
  <c r="X29" i="6" s="1"/>
  <c r="W19" i="6"/>
  <c r="V20" i="6"/>
  <c r="W20" i="6"/>
  <c r="W13" i="6"/>
  <c r="V13" i="6"/>
  <c r="R14" i="6"/>
  <c r="S14" i="6"/>
  <c r="R15" i="6"/>
  <c r="T25" i="6" s="1"/>
  <c r="S15" i="6"/>
  <c r="R16" i="6"/>
  <c r="U26" i="6" s="1"/>
  <c r="S16" i="6"/>
  <c r="R17" i="6"/>
  <c r="U27" i="6" s="1"/>
  <c r="S17" i="6"/>
  <c r="R18" i="6"/>
  <c r="T29" i="6" s="1"/>
  <c r="S18" i="6"/>
  <c r="R19" i="6"/>
  <c r="S19" i="6"/>
  <c r="R20" i="6"/>
  <c r="S20" i="6"/>
  <c r="S13" i="6"/>
  <c r="R13" i="6"/>
  <c r="S29" i="6" s="1"/>
  <c r="N14" i="6"/>
  <c r="P24" i="6" s="1"/>
  <c r="O14" i="6"/>
  <c r="N15" i="6"/>
  <c r="Q25" i="6" s="1"/>
  <c r="O15" i="6"/>
  <c r="N16" i="6"/>
  <c r="P26" i="6" s="1"/>
  <c r="O16" i="6"/>
  <c r="N17" i="6"/>
  <c r="Q27" i="6" s="1"/>
  <c r="O17" i="6"/>
  <c r="N18" i="6"/>
  <c r="P28" i="6" s="1"/>
  <c r="O18" i="6"/>
  <c r="N19" i="6"/>
  <c r="O19" i="6"/>
  <c r="N20" i="6"/>
  <c r="P30" i="6" s="1"/>
  <c r="O20" i="6"/>
  <c r="O13" i="6"/>
  <c r="N13" i="6"/>
  <c r="J14" i="6"/>
  <c r="L24" i="6" s="1"/>
  <c r="K14" i="6"/>
  <c r="J15" i="6"/>
  <c r="K15" i="6"/>
  <c r="J16" i="6"/>
  <c r="M26" i="6" s="1"/>
  <c r="K16" i="6"/>
  <c r="J17" i="6"/>
  <c r="M27" i="6" s="1"/>
  <c r="K17" i="6"/>
  <c r="J18" i="6"/>
  <c r="L28" i="6" s="1"/>
  <c r="K18" i="6"/>
  <c r="J19" i="6"/>
  <c r="K19" i="6"/>
  <c r="J20" i="6"/>
  <c r="M30" i="6" s="1"/>
  <c r="K20" i="6"/>
  <c r="K13" i="6"/>
  <c r="J13" i="6"/>
  <c r="K30" i="6" s="1"/>
  <c r="F14" i="6"/>
  <c r="I24" i="6" s="1"/>
  <c r="G14" i="6"/>
  <c r="F15" i="6"/>
  <c r="H25" i="6" s="1"/>
  <c r="G15" i="6"/>
  <c r="F16" i="6"/>
  <c r="G16" i="6"/>
  <c r="F17" i="6"/>
  <c r="G17" i="6"/>
  <c r="F18" i="6"/>
  <c r="G18" i="6"/>
  <c r="F19" i="6"/>
  <c r="H29" i="6" s="1"/>
  <c r="G19" i="6"/>
  <c r="F20" i="6"/>
  <c r="G20" i="6"/>
  <c r="G13" i="6"/>
  <c r="F13" i="6"/>
  <c r="C14" i="6"/>
  <c r="B14" i="6"/>
  <c r="B15" i="6"/>
  <c r="E25" i="6" s="1"/>
  <c r="C15" i="6"/>
  <c r="B16" i="6"/>
  <c r="E26" i="6" s="1"/>
  <c r="C16" i="6"/>
  <c r="B17" i="6"/>
  <c r="D27" i="6" s="1"/>
  <c r="C17" i="6"/>
  <c r="B18" i="6"/>
  <c r="D29" i="6" s="1"/>
  <c r="C18" i="6"/>
  <c r="B19" i="6"/>
  <c r="C19" i="6"/>
  <c r="B20" i="6"/>
  <c r="C20" i="6"/>
  <c r="C13" i="6"/>
  <c r="B13" i="6"/>
  <c r="E29" i="6" s="1"/>
  <c r="F19" i="5"/>
  <c r="F18" i="5"/>
  <c r="G13" i="5"/>
  <c r="J13" i="5"/>
  <c r="K13" i="5"/>
  <c r="N13" i="5"/>
  <c r="O13" i="5"/>
  <c r="R13" i="5"/>
  <c r="S13" i="5"/>
  <c r="V13" i="5"/>
  <c r="W13" i="5"/>
  <c r="G14" i="5"/>
  <c r="J14" i="5"/>
  <c r="K14" i="5"/>
  <c r="N14" i="5"/>
  <c r="O14" i="5"/>
  <c r="R14" i="5"/>
  <c r="S14" i="5"/>
  <c r="V14" i="5"/>
  <c r="W14" i="5"/>
  <c r="G15" i="5"/>
  <c r="J15" i="5"/>
  <c r="K15" i="5"/>
  <c r="N15" i="5"/>
  <c r="O15" i="5"/>
  <c r="R15" i="5"/>
  <c r="S15" i="5"/>
  <c r="V15" i="5"/>
  <c r="W15" i="5"/>
  <c r="G16" i="5"/>
  <c r="J16" i="5"/>
  <c r="K16" i="5"/>
  <c r="N16" i="5"/>
  <c r="O16" i="5"/>
  <c r="R16" i="5"/>
  <c r="S16" i="5"/>
  <c r="V16" i="5"/>
  <c r="W16" i="5"/>
  <c r="G17" i="5"/>
  <c r="J17" i="5"/>
  <c r="K17" i="5"/>
  <c r="N17" i="5"/>
  <c r="O17" i="5"/>
  <c r="R17" i="5"/>
  <c r="S17" i="5"/>
  <c r="V17" i="5"/>
  <c r="W17" i="5"/>
  <c r="G18" i="5"/>
  <c r="J18" i="5"/>
  <c r="K18" i="5"/>
  <c r="N18" i="5"/>
  <c r="O18" i="5"/>
  <c r="R18" i="5"/>
  <c r="S18" i="5"/>
  <c r="V18" i="5"/>
  <c r="W18" i="5"/>
  <c r="G19" i="5"/>
  <c r="J19" i="5"/>
  <c r="K19" i="5"/>
  <c r="N19" i="5"/>
  <c r="O19" i="5"/>
  <c r="R19" i="5"/>
  <c r="S19" i="5"/>
  <c r="V19" i="5"/>
  <c r="W19" i="5"/>
  <c r="G20" i="5"/>
  <c r="J20" i="5"/>
  <c r="K20" i="5"/>
  <c r="N20" i="5"/>
  <c r="O20" i="5"/>
  <c r="R20" i="5"/>
  <c r="S20" i="5"/>
  <c r="V20" i="5"/>
  <c r="W20" i="5"/>
  <c r="F20" i="5"/>
  <c r="C20" i="5"/>
  <c r="B20" i="5"/>
  <c r="C19" i="5"/>
  <c r="B19" i="5"/>
  <c r="C18" i="5"/>
  <c r="B18" i="5"/>
  <c r="F17" i="5"/>
  <c r="C17" i="5"/>
  <c r="B17" i="5"/>
  <c r="F16" i="5"/>
  <c r="C16" i="5"/>
  <c r="B16" i="5"/>
  <c r="F15" i="5"/>
  <c r="C15" i="5"/>
  <c r="B15" i="5"/>
  <c r="F14" i="5"/>
  <c r="C14" i="5"/>
  <c r="B14" i="5"/>
  <c r="F13" i="5"/>
  <c r="C13" i="5"/>
  <c r="B13" i="5"/>
  <c r="W20" i="4"/>
  <c r="V20" i="4"/>
  <c r="S20" i="4"/>
  <c r="R20" i="4"/>
  <c r="O20" i="4"/>
  <c r="N20" i="4"/>
  <c r="K20" i="4"/>
  <c r="J20" i="4"/>
  <c r="G20" i="4"/>
  <c r="F20" i="4"/>
  <c r="C20" i="4"/>
  <c r="B20" i="4"/>
  <c r="W19" i="4"/>
  <c r="V19" i="4"/>
  <c r="S19" i="4"/>
  <c r="R19" i="4"/>
  <c r="O19" i="4"/>
  <c r="N19" i="4"/>
  <c r="K19" i="4"/>
  <c r="J19" i="4"/>
  <c r="G19" i="4"/>
  <c r="F19" i="4"/>
  <c r="C19" i="4"/>
  <c r="B19" i="4"/>
  <c r="W18" i="4"/>
  <c r="V18" i="4"/>
  <c r="S18" i="4"/>
  <c r="R18" i="4"/>
  <c r="O18" i="4"/>
  <c r="N18" i="4"/>
  <c r="K18" i="4"/>
  <c r="J18" i="4"/>
  <c r="G18" i="4"/>
  <c r="F18" i="4"/>
  <c r="C18" i="4"/>
  <c r="B18" i="4"/>
  <c r="W17" i="4"/>
  <c r="V17" i="4"/>
  <c r="S17" i="4"/>
  <c r="R17" i="4"/>
  <c r="O17" i="4"/>
  <c r="N17" i="4"/>
  <c r="K17" i="4"/>
  <c r="J17" i="4"/>
  <c r="G17" i="4"/>
  <c r="F17" i="4"/>
  <c r="C17" i="4"/>
  <c r="B17" i="4"/>
  <c r="W16" i="4"/>
  <c r="V16" i="4"/>
  <c r="S16" i="4"/>
  <c r="R16" i="4"/>
  <c r="O16" i="4"/>
  <c r="N16" i="4"/>
  <c r="K16" i="4"/>
  <c r="J16" i="4"/>
  <c r="G16" i="4"/>
  <c r="F16" i="4"/>
  <c r="C16" i="4"/>
  <c r="B16" i="4"/>
  <c r="W15" i="4"/>
  <c r="V15" i="4"/>
  <c r="S15" i="4"/>
  <c r="R15" i="4"/>
  <c r="O15" i="4"/>
  <c r="N15" i="4"/>
  <c r="K15" i="4"/>
  <c r="J15" i="4"/>
  <c r="G15" i="4"/>
  <c r="F15" i="4"/>
  <c r="C15" i="4"/>
  <c r="B15" i="4"/>
  <c r="W14" i="4"/>
  <c r="V14" i="4"/>
  <c r="S14" i="4"/>
  <c r="R14" i="4"/>
  <c r="O14" i="4"/>
  <c r="N14" i="4"/>
  <c r="K14" i="4"/>
  <c r="J14" i="4"/>
  <c r="G14" i="4"/>
  <c r="F14" i="4"/>
  <c r="C14" i="4"/>
  <c r="B14" i="4"/>
  <c r="W13" i="4"/>
  <c r="V13" i="4"/>
  <c r="S13" i="4"/>
  <c r="R13" i="4"/>
  <c r="O13" i="4"/>
  <c r="N13" i="4"/>
  <c r="K13" i="4"/>
  <c r="J13" i="4"/>
  <c r="G13" i="4"/>
  <c r="F13" i="4"/>
  <c r="C13" i="4"/>
  <c r="B13" i="4"/>
  <c r="W20" i="3"/>
  <c r="V20" i="3"/>
  <c r="S20" i="3"/>
  <c r="R20" i="3"/>
  <c r="O20" i="3"/>
  <c r="N20" i="3"/>
  <c r="K20" i="3"/>
  <c r="J20" i="3"/>
  <c r="G20" i="3"/>
  <c r="F20" i="3"/>
  <c r="C20" i="3"/>
  <c r="B20" i="3"/>
  <c r="W19" i="3"/>
  <c r="V19" i="3"/>
  <c r="S19" i="3"/>
  <c r="R19" i="3"/>
  <c r="O19" i="3"/>
  <c r="N19" i="3"/>
  <c r="K19" i="3"/>
  <c r="J19" i="3"/>
  <c r="G19" i="3"/>
  <c r="F19" i="3"/>
  <c r="C19" i="3"/>
  <c r="B19" i="3"/>
  <c r="W18" i="3"/>
  <c r="V18" i="3"/>
  <c r="S18" i="3"/>
  <c r="R18" i="3"/>
  <c r="O18" i="3"/>
  <c r="N18" i="3"/>
  <c r="K18" i="3"/>
  <c r="J18" i="3"/>
  <c r="G18" i="3"/>
  <c r="F18" i="3"/>
  <c r="C18" i="3"/>
  <c r="B18" i="3"/>
  <c r="W17" i="3"/>
  <c r="V17" i="3"/>
  <c r="S17" i="3"/>
  <c r="R17" i="3"/>
  <c r="O17" i="3"/>
  <c r="N17" i="3"/>
  <c r="K17" i="3"/>
  <c r="J17" i="3"/>
  <c r="G17" i="3"/>
  <c r="F17" i="3"/>
  <c r="C17" i="3"/>
  <c r="B17" i="3"/>
  <c r="W16" i="3"/>
  <c r="V16" i="3"/>
  <c r="S16" i="3"/>
  <c r="R16" i="3"/>
  <c r="O16" i="3"/>
  <c r="N16" i="3"/>
  <c r="K16" i="3"/>
  <c r="J16" i="3"/>
  <c r="G16" i="3"/>
  <c r="F16" i="3"/>
  <c r="C16" i="3"/>
  <c r="B16" i="3"/>
  <c r="W15" i="3"/>
  <c r="V15" i="3"/>
  <c r="S15" i="3"/>
  <c r="R15" i="3"/>
  <c r="O15" i="3"/>
  <c r="N15" i="3"/>
  <c r="K15" i="3"/>
  <c r="J15" i="3"/>
  <c r="G15" i="3"/>
  <c r="F15" i="3"/>
  <c r="C15" i="3"/>
  <c r="B15" i="3"/>
  <c r="W14" i="3"/>
  <c r="V14" i="3"/>
  <c r="S14" i="3"/>
  <c r="R14" i="3"/>
  <c r="O14" i="3"/>
  <c r="N14" i="3"/>
  <c r="K14" i="3"/>
  <c r="J14" i="3"/>
  <c r="G14" i="3"/>
  <c r="F14" i="3"/>
  <c r="C14" i="3"/>
  <c r="B14" i="3"/>
  <c r="W13" i="3"/>
  <c r="V13" i="3"/>
  <c r="S13" i="3"/>
  <c r="R13" i="3"/>
  <c r="O13" i="3"/>
  <c r="N13" i="3"/>
  <c r="K13" i="3"/>
  <c r="J13" i="3"/>
  <c r="G13" i="3"/>
  <c r="F13" i="3"/>
  <c r="C13" i="3"/>
  <c r="B13" i="3"/>
  <c r="J13" i="2"/>
  <c r="W20" i="2"/>
  <c r="V20" i="2"/>
  <c r="S20" i="2"/>
  <c r="R20" i="2"/>
  <c r="O20" i="2"/>
  <c r="N20" i="2"/>
  <c r="K20" i="2"/>
  <c r="J20" i="2"/>
  <c r="G20" i="2"/>
  <c r="F20" i="2"/>
  <c r="C20" i="2"/>
  <c r="B20" i="2"/>
  <c r="W19" i="2"/>
  <c r="V19" i="2"/>
  <c r="S19" i="2"/>
  <c r="R19" i="2"/>
  <c r="O19" i="2"/>
  <c r="N19" i="2"/>
  <c r="K19" i="2"/>
  <c r="J19" i="2"/>
  <c r="G19" i="2"/>
  <c r="F19" i="2"/>
  <c r="C19" i="2"/>
  <c r="B19" i="2"/>
  <c r="W18" i="2"/>
  <c r="V18" i="2"/>
  <c r="S18" i="2"/>
  <c r="R18" i="2"/>
  <c r="O18" i="2"/>
  <c r="N18" i="2"/>
  <c r="K18" i="2"/>
  <c r="J18" i="2"/>
  <c r="G18" i="2"/>
  <c r="F18" i="2"/>
  <c r="C18" i="2"/>
  <c r="B18" i="2"/>
  <c r="W17" i="2"/>
  <c r="V17" i="2"/>
  <c r="S17" i="2"/>
  <c r="R17" i="2"/>
  <c r="O17" i="2"/>
  <c r="N17" i="2"/>
  <c r="K17" i="2"/>
  <c r="J17" i="2"/>
  <c r="G17" i="2"/>
  <c r="F17" i="2"/>
  <c r="C17" i="2"/>
  <c r="B17" i="2"/>
  <c r="W16" i="2"/>
  <c r="V16" i="2"/>
  <c r="S16" i="2"/>
  <c r="R16" i="2"/>
  <c r="O16" i="2"/>
  <c r="N16" i="2"/>
  <c r="K16" i="2"/>
  <c r="J16" i="2"/>
  <c r="G16" i="2"/>
  <c r="F16" i="2"/>
  <c r="C16" i="2"/>
  <c r="B16" i="2"/>
  <c r="W15" i="2"/>
  <c r="V15" i="2"/>
  <c r="S15" i="2"/>
  <c r="R15" i="2"/>
  <c r="O15" i="2"/>
  <c r="N15" i="2"/>
  <c r="K15" i="2"/>
  <c r="J15" i="2"/>
  <c r="G15" i="2"/>
  <c r="F15" i="2"/>
  <c r="C15" i="2"/>
  <c r="B15" i="2"/>
  <c r="W14" i="2"/>
  <c r="V14" i="2"/>
  <c r="S14" i="2"/>
  <c r="R14" i="2"/>
  <c r="O14" i="2"/>
  <c r="N14" i="2"/>
  <c r="K14" i="2"/>
  <c r="J14" i="2"/>
  <c r="G14" i="2"/>
  <c r="F14" i="2"/>
  <c r="C14" i="2"/>
  <c r="B14" i="2"/>
  <c r="W13" i="2"/>
  <c r="V13" i="2"/>
  <c r="S13" i="2"/>
  <c r="R13" i="2"/>
  <c r="O13" i="2"/>
  <c r="N13" i="2"/>
  <c r="K13" i="2"/>
  <c r="G13" i="2"/>
  <c r="F13" i="2"/>
  <c r="C13" i="2"/>
  <c r="B13" i="2"/>
  <c r="M26" i="1"/>
  <c r="M25" i="1"/>
  <c r="M24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U30" i="1"/>
  <c r="T30" i="1"/>
  <c r="S30" i="1"/>
  <c r="R30" i="1"/>
  <c r="U29" i="1"/>
  <c r="T29" i="1"/>
  <c r="S29" i="1"/>
  <c r="R29" i="1"/>
  <c r="U28" i="1"/>
  <c r="T28" i="1"/>
  <c r="S28" i="1"/>
  <c r="R28" i="1"/>
  <c r="U27" i="1"/>
  <c r="T27" i="1"/>
  <c r="S27" i="1"/>
  <c r="R27" i="1"/>
  <c r="U26" i="1"/>
  <c r="T26" i="1"/>
  <c r="S26" i="1"/>
  <c r="R26" i="1"/>
  <c r="U25" i="1"/>
  <c r="T25" i="1"/>
  <c r="S25" i="1"/>
  <c r="R25" i="1"/>
  <c r="U24" i="1"/>
  <c r="T24" i="1"/>
  <c r="S24" i="1"/>
  <c r="R24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L26" i="1"/>
  <c r="K26" i="1"/>
  <c r="J26" i="1"/>
  <c r="L25" i="1"/>
  <c r="K25" i="1"/>
  <c r="J25" i="1"/>
  <c r="L24" i="1"/>
  <c r="K24" i="1"/>
  <c r="J24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E25" i="1"/>
  <c r="E26" i="1"/>
  <c r="E27" i="1"/>
  <c r="E28" i="1"/>
  <c r="E29" i="1"/>
  <c r="E30" i="1"/>
  <c r="E24" i="1"/>
  <c r="C24" i="1"/>
  <c r="D25" i="1"/>
  <c r="D26" i="1"/>
  <c r="D27" i="1"/>
  <c r="D28" i="1"/>
  <c r="D29" i="1"/>
  <c r="D30" i="1"/>
  <c r="D24" i="1"/>
  <c r="B24" i="1"/>
  <c r="B13" i="1"/>
  <c r="B14" i="1"/>
  <c r="C25" i="1"/>
  <c r="B26" i="1"/>
  <c r="W20" i="1"/>
  <c r="W19" i="1"/>
  <c r="W18" i="1"/>
  <c r="W17" i="1"/>
  <c r="W16" i="1"/>
  <c r="W15" i="1"/>
  <c r="W14" i="1"/>
  <c r="W13" i="1"/>
  <c r="S20" i="1"/>
  <c r="S19" i="1"/>
  <c r="S18" i="1"/>
  <c r="S17" i="1"/>
  <c r="S16" i="1"/>
  <c r="S15" i="1"/>
  <c r="S14" i="1"/>
  <c r="S13" i="1"/>
  <c r="O20" i="1"/>
  <c r="O19" i="1"/>
  <c r="O18" i="1"/>
  <c r="O17" i="1"/>
  <c r="O16" i="1"/>
  <c r="O15" i="1"/>
  <c r="O14" i="1"/>
  <c r="O13" i="1"/>
  <c r="K20" i="1"/>
  <c r="K19" i="1"/>
  <c r="K18" i="1"/>
  <c r="K17" i="1"/>
  <c r="K16" i="1"/>
  <c r="K15" i="1"/>
  <c r="K14" i="1"/>
  <c r="K13" i="1"/>
  <c r="G20" i="1"/>
  <c r="G19" i="1"/>
  <c r="G18" i="1"/>
  <c r="G17" i="1"/>
  <c r="G16" i="1"/>
  <c r="G15" i="1"/>
  <c r="G14" i="1"/>
  <c r="G13" i="1"/>
  <c r="C14" i="1"/>
  <c r="C15" i="1"/>
  <c r="C16" i="1"/>
  <c r="C17" i="1"/>
  <c r="C18" i="1"/>
  <c r="C19" i="1"/>
  <c r="C20" i="1"/>
  <c r="C13" i="1"/>
  <c r="V20" i="1"/>
  <c r="V19" i="1"/>
  <c r="V18" i="1"/>
  <c r="V17" i="1"/>
  <c r="V16" i="1"/>
  <c r="V15" i="1"/>
  <c r="V14" i="1"/>
  <c r="V13" i="1"/>
  <c r="R20" i="1"/>
  <c r="R19" i="1"/>
  <c r="R18" i="1"/>
  <c r="R17" i="1"/>
  <c r="R16" i="1"/>
  <c r="R15" i="1"/>
  <c r="R14" i="1"/>
  <c r="R13" i="1"/>
  <c r="N20" i="1"/>
  <c r="N19" i="1"/>
  <c r="N18" i="1"/>
  <c r="N17" i="1"/>
  <c r="N16" i="1"/>
  <c r="N15" i="1"/>
  <c r="N14" i="1"/>
  <c r="N13" i="1"/>
  <c r="J20" i="1"/>
  <c r="J19" i="1"/>
  <c r="J18" i="1"/>
  <c r="J17" i="1"/>
  <c r="J16" i="1"/>
  <c r="J15" i="1"/>
  <c r="J14" i="1"/>
  <c r="J13" i="1"/>
  <c r="F13" i="1"/>
  <c r="F20" i="1"/>
  <c r="F19" i="1"/>
  <c r="F18" i="1"/>
  <c r="F17" i="1"/>
  <c r="F16" i="1"/>
  <c r="F15" i="1"/>
  <c r="F14" i="1"/>
  <c r="B15" i="1"/>
  <c r="B16" i="1"/>
  <c r="B17" i="1"/>
  <c r="B27" i="1" s="1"/>
  <c r="B18" i="1"/>
  <c r="B19" i="1"/>
  <c r="B20" i="1"/>
  <c r="D46" i="11" l="1"/>
  <c r="D50" i="11"/>
  <c r="D43" i="11"/>
  <c r="D47" i="11"/>
  <c r="D44" i="11"/>
  <c r="D48" i="11"/>
  <c r="D47" i="10"/>
  <c r="D48" i="10"/>
  <c r="D49" i="10"/>
  <c r="D46" i="10"/>
  <c r="D50" i="10"/>
  <c r="D43" i="10"/>
  <c r="D44" i="10"/>
  <c r="D45" i="10"/>
  <c r="D43" i="9"/>
  <c r="E47" i="9"/>
  <c r="D44" i="9"/>
  <c r="E48" i="9"/>
  <c r="D45" i="9"/>
  <c r="D46" i="9"/>
  <c r="D50" i="9"/>
  <c r="D49" i="9"/>
  <c r="D47" i="8"/>
  <c r="E43" i="8"/>
  <c r="D44" i="8"/>
  <c r="E48" i="8"/>
  <c r="D49" i="8"/>
  <c r="D46" i="8"/>
  <c r="D50" i="8"/>
  <c r="D45" i="8"/>
  <c r="E43" i="7"/>
  <c r="E47" i="7"/>
  <c r="D44" i="7"/>
  <c r="D48" i="7"/>
  <c r="D46" i="7"/>
  <c r="D50" i="7"/>
  <c r="D48" i="6"/>
  <c r="D50" i="6"/>
  <c r="E44" i="6"/>
  <c r="D49" i="6"/>
  <c r="F48" i="5"/>
  <c r="F43" i="5"/>
  <c r="F49" i="5"/>
  <c r="F44" i="5"/>
  <c r="G47" i="5"/>
  <c r="F50" i="5"/>
  <c r="F46" i="5"/>
  <c r="G49" i="4"/>
  <c r="F43" i="4"/>
  <c r="F44" i="4"/>
  <c r="F48" i="4"/>
  <c r="F46" i="4"/>
  <c r="F47" i="4"/>
  <c r="F50" i="4"/>
  <c r="F49" i="3"/>
  <c r="G48" i="3"/>
  <c r="F46" i="3"/>
  <c r="F44" i="3"/>
  <c r="F47" i="3"/>
  <c r="F50" i="3"/>
  <c r="F43" i="3"/>
  <c r="F45" i="2"/>
  <c r="G46" i="2"/>
  <c r="F49" i="2"/>
  <c r="F47" i="2"/>
  <c r="F50" i="2"/>
  <c r="F48" i="2"/>
  <c r="F43" i="2"/>
  <c r="B28" i="6"/>
  <c r="R28" i="6"/>
  <c r="J29" i="6"/>
  <c r="T28" i="6"/>
  <c r="G26" i="6"/>
  <c r="Q28" i="6"/>
  <c r="K27" i="6"/>
  <c r="C28" i="6"/>
  <c r="S28" i="6"/>
  <c r="L27" i="6"/>
  <c r="D28" i="6"/>
  <c r="L29" i="6"/>
  <c r="E28" i="6"/>
  <c r="U28" i="6"/>
  <c r="F26" i="6"/>
  <c r="V26" i="6"/>
  <c r="N27" i="6"/>
  <c r="F28" i="6"/>
  <c r="V28" i="6"/>
  <c r="N29" i="6"/>
  <c r="O25" i="6"/>
  <c r="W26" i="6"/>
  <c r="O27" i="6"/>
  <c r="G28" i="6"/>
  <c r="W28" i="6"/>
  <c r="P25" i="6"/>
  <c r="H26" i="6"/>
  <c r="X26" i="6"/>
  <c r="P27" i="6"/>
  <c r="H28" i="6"/>
  <c r="X28" i="6"/>
  <c r="P29" i="6"/>
  <c r="I26" i="6"/>
  <c r="Y28" i="6"/>
  <c r="J24" i="6"/>
  <c r="R25" i="6"/>
  <c r="B27" i="6"/>
  <c r="J28" i="6"/>
  <c r="R29" i="6"/>
  <c r="M24" i="6"/>
  <c r="U25" i="6"/>
  <c r="E27" i="6"/>
  <c r="M28" i="6"/>
  <c r="U29" i="6"/>
  <c r="F25" i="6"/>
  <c r="V29" i="6"/>
  <c r="O24" i="6"/>
  <c r="G25" i="6"/>
  <c r="W25" i="6"/>
  <c r="O26" i="6"/>
  <c r="G27" i="6"/>
  <c r="W27" i="6"/>
  <c r="O28" i="6"/>
  <c r="G29" i="6"/>
  <c r="W29" i="6"/>
  <c r="O30" i="6"/>
  <c r="I28" i="6"/>
  <c r="B25" i="6"/>
  <c r="J26" i="6"/>
  <c r="R27" i="6"/>
  <c r="B29" i="6"/>
  <c r="K24" i="6"/>
  <c r="C25" i="6"/>
  <c r="S25" i="6"/>
  <c r="K26" i="6"/>
  <c r="C27" i="6"/>
  <c r="S27" i="6"/>
  <c r="K28" i="6"/>
  <c r="C29" i="6"/>
  <c r="D25" i="6"/>
  <c r="L26" i="6"/>
  <c r="T27" i="6"/>
  <c r="N24" i="6"/>
  <c r="V25" i="6"/>
  <c r="N26" i="6"/>
  <c r="F27" i="6"/>
  <c r="V27" i="6"/>
  <c r="N28" i="6"/>
  <c r="F29" i="6"/>
  <c r="N30" i="6"/>
  <c r="H27" i="6"/>
  <c r="B30" i="1"/>
  <c r="B25" i="1"/>
  <c r="B29" i="1"/>
  <c r="C30" i="1"/>
  <c r="C29" i="1"/>
  <c r="C28" i="1"/>
  <c r="C27" i="1"/>
  <c r="C26" i="1"/>
</calcChain>
</file>

<file path=xl/sharedStrings.xml><?xml version="1.0" encoding="utf-8"?>
<sst xmlns="http://schemas.openxmlformats.org/spreadsheetml/2006/main" count="858" uniqueCount="61">
  <si>
    <t>time [h]</t>
  </si>
  <si>
    <t>7942_sps_cscB</t>
  </si>
  <si>
    <t>7942_sps_cscB_total</t>
  </si>
  <si>
    <t>7942_UMa_doublets</t>
  </si>
  <si>
    <t>All</t>
  </si>
  <si>
    <t>UMa04</t>
  </si>
  <si>
    <t>UMa04_total</t>
  </si>
  <si>
    <t>1710256*</t>
  </si>
  <si>
    <t>2028680*</t>
  </si>
  <si>
    <t>242984*</t>
  </si>
  <si>
    <t>275520*</t>
  </si>
  <si>
    <t>57488*</t>
  </si>
  <si>
    <t>53920*</t>
  </si>
  <si>
    <t>57528*</t>
  </si>
  <si>
    <t>48*</t>
  </si>
  <si>
    <t>0*</t>
  </si>
  <si>
    <t>96408*</t>
  </si>
  <si>
    <t>195280*</t>
  </si>
  <si>
    <t>9440*</t>
  </si>
  <si>
    <t>10080*</t>
  </si>
  <si>
    <t>9456*</t>
  </si>
  <si>
    <t>1399968*</t>
  </si>
  <si>
    <t>1405060*</t>
  </si>
  <si>
    <t>1400648*</t>
  </si>
  <si>
    <t>1405300*</t>
  </si>
  <si>
    <t>688*</t>
  </si>
  <si>
    <t>240*</t>
  </si>
  <si>
    <t>1451848*</t>
  </si>
  <si>
    <t>1562320*</t>
  </si>
  <si>
    <t>10096*</t>
  </si>
  <si>
    <t>11260*</t>
  </si>
  <si>
    <t>10680*</t>
  </si>
  <si>
    <t>11480*</t>
  </si>
  <si>
    <t>2173632*</t>
  </si>
  <si>
    <t>2246400*</t>
  </si>
  <si>
    <t>2175880*</t>
  </si>
  <si>
    <t>2247420*</t>
  </si>
  <si>
    <t>2256*</t>
  </si>
  <si>
    <t>1020*</t>
  </si>
  <si>
    <t>2242048*</t>
  </si>
  <si>
    <t>2385840*</t>
  </si>
  <si>
    <t>16080*</t>
  </si>
  <si>
    <t>20260*</t>
  </si>
  <si>
    <t>18328*</t>
  </si>
  <si>
    <t>21280*</t>
  </si>
  <si>
    <t>Average + STDEV.S</t>
  </si>
  <si>
    <t>Average</t>
  </si>
  <si>
    <t>STDEV.S</t>
  </si>
  <si>
    <t>partial generation time [h]</t>
  </si>
  <si>
    <t>total generation time [h]</t>
  </si>
  <si>
    <t>partial growth rate [h]</t>
  </si>
  <si>
    <t>total growth rate [h]</t>
  </si>
  <si>
    <t>ratio 7942/Uma total</t>
  </si>
  <si>
    <t>percent 7942</t>
  </si>
  <si>
    <t>percent Uma</t>
  </si>
  <si>
    <t>STDEV.S ?</t>
  </si>
  <si>
    <t>1 ratio 7942/Uma total</t>
  </si>
  <si>
    <t>2 ratio 7942/Uma total</t>
  </si>
  <si>
    <t>3 ratio 7942/Uma total</t>
  </si>
  <si>
    <t>4 ratio 7942/Uma total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</si>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</sst>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E4EF-E610-4AE6-B03E-A867CBB9FFE4}">
  <dimension ref="A1:Y50"/>
  <sheetViews>
    <sheetView workbookViewId="0">
      <selection activeCell="V29" sqref="V29"/>
    </sheetView>
  </sheetViews>
  <sheetFormatPr defaultRowHeight="14.5" x14ac:dyDescent="0.35"/>
  <cols>
    <col min="1" max="1" width="8.81640625" style="3" bestFit="1" customWidth="1"/>
    <col min="2" max="2" width="12.36328125" style="3" customWidth="1"/>
    <col min="3" max="4" width="11.36328125" style="3" bestFit="1" customWidth="1"/>
    <col min="5" max="5" width="8.7265625" style="3"/>
    <col min="6" max="6" width="12.36328125" style="3" bestFit="1" customWidth="1"/>
    <col min="7" max="7" width="11.36328125" style="3" bestFit="1" customWidth="1"/>
    <col min="8" max="9" width="8.7265625" style="3"/>
    <col min="10" max="11" width="9.36328125" style="3" bestFit="1" customWidth="1"/>
    <col min="12" max="13" width="8.7265625" style="3"/>
    <col min="14" max="14" width="12.36328125" style="3" bestFit="1" customWidth="1"/>
    <col min="15" max="15" width="11.36328125" style="3" bestFit="1" customWidth="1"/>
    <col min="16" max="17" width="8.7265625" style="3"/>
    <col min="18" max="18" width="10.36328125" style="3" bestFit="1" customWidth="1"/>
    <col min="19" max="19" width="9.36328125" style="3" bestFit="1" customWidth="1"/>
    <col min="20" max="21" width="8.7265625" style="3"/>
    <col min="22" max="22" width="10.36328125" style="3" bestFit="1" customWidth="1"/>
    <col min="23" max="23" width="9.36328125" style="3" bestFit="1" customWidth="1"/>
    <col min="24" max="16384" width="8.7265625" style="3"/>
  </cols>
  <sheetData>
    <row r="1" spans="1:25" ht="43.5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3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4</v>
      </c>
      <c r="Q1" s="3" t="s">
        <v>4</v>
      </c>
      <c r="R1" s="3" t="s">
        <v>5</v>
      </c>
      <c r="S1" s="3" t="s">
        <v>5</v>
      </c>
      <c r="T1" s="3" t="s">
        <v>5</v>
      </c>
      <c r="U1" s="3" t="s">
        <v>5</v>
      </c>
      <c r="V1" s="3" t="s">
        <v>6</v>
      </c>
      <c r="W1" s="3" t="s">
        <v>6</v>
      </c>
      <c r="X1" s="3" t="s">
        <v>6</v>
      </c>
      <c r="Y1" s="3" t="s">
        <v>6</v>
      </c>
    </row>
    <row r="2" spans="1:25" x14ac:dyDescent="0.35">
      <c r="A2" s="3">
        <v>0</v>
      </c>
      <c r="B2" s="3">
        <v>736792</v>
      </c>
      <c r="C2" s="3">
        <v>780512</v>
      </c>
      <c r="D2" s="3">
        <v>699666</v>
      </c>
      <c r="E2" s="3">
        <v>789228</v>
      </c>
      <c r="F2" s="3">
        <v>736886</v>
      </c>
      <c r="G2" s="3">
        <v>780532</v>
      </c>
      <c r="H2" s="3">
        <v>699718</v>
      </c>
      <c r="I2" s="3">
        <v>789240</v>
      </c>
      <c r="J2" s="3">
        <v>94</v>
      </c>
      <c r="K2" s="3">
        <v>20</v>
      </c>
      <c r="L2" s="3">
        <v>52</v>
      </c>
      <c r="M2" s="3">
        <v>12</v>
      </c>
      <c r="N2" s="3">
        <v>744472</v>
      </c>
      <c r="O2" s="3">
        <v>794612</v>
      </c>
      <c r="P2" s="3">
        <v>706738</v>
      </c>
      <c r="Q2" s="3">
        <v>806148</v>
      </c>
      <c r="R2" s="3">
        <v>382</v>
      </c>
      <c r="S2" s="3">
        <v>280</v>
      </c>
      <c r="T2" s="3">
        <v>298</v>
      </c>
      <c r="U2" s="3">
        <v>260</v>
      </c>
      <c r="V2" s="3">
        <v>476</v>
      </c>
      <c r="W2" s="3">
        <v>300</v>
      </c>
      <c r="X2" s="3">
        <v>350</v>
      </c>
      <c r="Y2" s="3">
        <v>272</v>
      </c>
    </row>
    <row r="3" spans="1:25" x14ac:dyDescent="0.35">
      <c r="A3" s="3">
        <v>24</v>
      </c>
      <c r="B3" s="3">
        <v>1329428</v>
      </c>
      <c r="C3" s="3">
        <v>1509156</v>
      </c>
      <c r="D3" s="3">
        <v>1356134</v>
      </c>
      <c r="E3" s="3">
        <v>1665724</v>
      </c>
      <c r="F3" s="3">
        <v>1331214</v>
      </c>
      <c r="G3" s="3">
        <v>1510020</v>
      </c>
      <c r="H3" s="3">
        <v>1357684</v>
      </c>
      <c r="I3" s="3">
        <v>1666628</v>
      </c>
      <c r="J3" s="3">
        <v>1786</v>
      </c>
      <c r="K3" s="3">
        <v>864</v>
      </c>
      <c r="L3" s="3">
        <v>1552</v>
      </c>
      <c r="M3" s="3">
        <v>904</v>
      </c>
      <c r="N3" s="3">
        <v>1346266</v>
      </c>
      <c r="O3" s="3">
        <v>1533040</v>
      </c>
      <c r="P3" s="3">
        <v>1371160</v>
      </c>
      <c r="Q3" s="3">
        <v>1687640</v>
      </c>
      <c r="R3" s="3">
        <v>7264</v>
      </c>
      <c r="S3" s="3">
        <v>7996</v>
      </c>
      <c r="T3" s="3">
        <v>6244</v>
      </c>
      <c r="U3" s="3">
        <v>7696</v>
      </c>
      <c r="V3" s="3">
        <v>9048</v>
      </c>
      <c r="W3" s="3">
        <v>8860</v>
      </c>
      <c r="X3" s="3">
        <v>7796</v>
      </c>
      <c r="Y3" s="3">
        <v>8600</v>
      </c>
    </row>
    <row r="4" spans="1:25" x14ac:dyDescent="0.35">
      <c r="A4" s="3">
        <v>46</v>
      </c>
      <c r="B4" s="3">
        <v>2074992</v>
      </c>
      <c r="C4" s="3">
        <v>1897392</v>
      </c>
      <c r="D4" s="3">
        <v>2232720</v>
      </c>
      <c r="E4" s="3">
        <v>2017512</v>
      </c>
      <c r="F4" s="3">
        <v>2076600</v>
      </c>
      <c r="G4" s="3">
        <v>1899420</v>
      </c>
      <c r="H4" s="3">
        <v>2234168</v>
      </c>
      <c r="I4" s="3">
        <v>2019900</v>
      </c>
      <c r="J4" s="3">
        <v>1624</v>
      </c>
      <c r="K4" s="3">
        <v>2040</v>
      </c>
      <c r="L4" s="3">
        <v>1448</v>
      </c>
      <c r="M4" s="3">
        <v>2392</v>
      </c>
      <c r="N4" s="3">
        <v>2120368</v>
      </c>
      <c r="O4" s="3">
        <v>1927232</v>
      </c>
      <c r="P4" s="3">
        <v>2269120</v>
      </c>
      <c r="Q4" s="3">
        <v>2043488</v>
      </c>
      <c r="R4" s="3">
        <v>19904</v>
      </c>
      <c r="S4" s="3">
        <v>12776</v>
      </c>
      <c r="T4" s="3">
        <v>16232</v>
      </c>
      <c r="U4" s="3">
        <v>13232</v>
      </c>
      <c r="V4" s="3">
        <v>21528</v>
      </c>
      <c r="W4" s="3">
        <v>14816</v>
      </c>
      <c r="X4" s="3">
        <v>17680</v>
      </c>
      <c r="Y4" s="3">
        <v>15620</v>
      </c>
    </row>
    <row r="5" spans="1:25" x14ac:dyDescent="0.35">
      <c r="A5" s="3">
        <v>70</v>
      </c>
      <c r="B5" s="3">
        <v>1911064</v>
      </c>
      <c r="C5" s="3">
        <v>2231104</v>
      </c>
      <c r="D5" s="3">
        <v>2070420</v>
      </c>
      <c r="E5" s="3">
        <v>2385648</v>
      </c>
      <c r="F5" s="3">
        <v>1913940</v>
      </c>
      <c r="G5" s="3">
        <v>2233080</v>
      </c>
      <c r="H5" s="3">
        <v>2073816</v>
      </c>
      <c r="I5" s="3">
        <v>2388104</v>
      </c>
      <c r="J5" s="3">
        <v>1984</v>
      </c>
      <c r="K5" s="3">
        <v>2876</v>
      </c>
      <c r="L5" s="3">
        <v>2456</v>
      </c>
      <c r="M5" s="3">
        <v>3400</v>
      </c>
      <c r="N5" s="3">
        <v>1956380</v>
      </c>
      <c r="O5" s="3">
        <v>2298072</v>
      </c>
      <c r="P5" s="3">
        <v>2110848</v>
      </c>
      <c r="Q5" s="3">
        <v>2457744</v>
      </c>
      <c r="R5" s="3">
        <v>15152</v>
      </c>
      <c r="S5" s="3">
        <v>19984</v>
      </c>
      <c r="T5" s="3">
        <v>15396</v>
      </c>
      <c r="U5" s="3">
        <v>22040</v>
      </c>
      <c r="V5" s="3">
        <v>18028</v>
      </c>
      <c r="W5" s="3">
        <v>21968</v>
      </c>
      <c r="X5" s="3">
        <v>18796</v>
      </c>
      <c r="Y5" s="3">
        <v>24496</v>
      </c>
    </row>
    <row r="6" spans="1:25" x14ac:dyDescent="0.35">
      <c r="A6" s="3">
        <v>96</v>
      </c>
      <c r="B6" s="3">
        <v>3178860</v>
      </c>
      <c r="C6" s="3">
        <v>2922800</v>
      </c>
      <c r="D6" s="3">
        <v>3028240</v>
      </c>
      <c r="E6" s="3">
        <v>2941632</v>
      </c>
      <c r="F6" s="3">
        <v>3180040</v>
      </c>
      <c r="G6" s="3">
        <v>2925200</v>
      </c>
      <c r="H6" s="3">
        <v>3029200</v>
      </c>
      <c r="I6" s="3">
        <v>2944128</v>
      </c>
      <c r="J6" s="3">
        <v>1200</v>
      </c>
      <c r="K6" s="3">
        <v>2400</v>
      </c>
      <c r="L6" s="3">
        <v>960</v>
      </c>
      <c r="M6" s="3">
        <v>2504</v>
      </c>
      <c r="N6" s="3">
        <v>3377140</v>
      </c>
      <c r="O6" s="3">
        <v>2981576</v>
      </c>
      <c r="P6" s="3">
        <v>3164700</v>
      </c>
      <c r="Q6" s="3">
        <v>3000560</v>
      </c>
      <c r="R6" s="3">
        <v>24940</v>
      </c>
      <c r="S6" s="3">
        <v>19160</v>
      </c>
      <c r="T6" s="3">
        <v>22920</v>
      </c>
      <c r="U6" s="3">
        <v>19984</v>
      </c>
      <c r="V6" s="3">
        <v>26140</v>
      </c>
      <c r="W6" s="3">
        <v>21560</v>
      </c>
      <c r="X6" s="3">
        <v>23880</v>
      </c>
      <c r="Y6" s="3">
        <v>22488</v>
      </c>
    </row>
    <row r="7" spans="1:25" x14ac:dyDescent="0.35">
      <c r="A7" s="3">
        <v>120</v>
      </c>
      <c r="B7" s="3">
        <v>3011592</v>
      </c>
      <c r="C7" s="3">
        <v>2946520</v>
      </c>
      <c r="D7" s="3">
        <v>3019320</v>
      </c>
      <c r="E7" s="3">
        <v>2964220</v>
      </c>
      <c r="F7" s="3">
        <v>3014360</v>
      </c>
      <c r="G7" s="3">
        <v>2947580</v>
      </c>
      <c r="H7" s="3">
        <v>3021896</v>
      </c>
      <c r="I7" s="3">
        <v>2965180</v>
      </c>
      <c r="J7" s="3">
        <v>2776</v>
      </c>
      <c r="K7" s="3">
        <v>1080</v>
      </c>
      <c r="L7" s="3">
        <v>2616</v>
      </c>
      <c r="M7" s="3">
        <v>1000</v>
      </c>
      <c r="N7" s="3">
        <v>3082656</v>
      </c>
      <c r="O7" s="3">
        <v>3076720</v>
      </c>
      <c r="P7" s="3">
        <v>3096136</v>
      </c>
      <c r="Q7" s="3">
        <v>3111660</v>
      </c>
      <c r="R7" s="3">
        <v>18760</v>
      </c>
      <c r="S7" s="3">
        <v>21780</v>
      </c>
      <c r="T7" s="3">
        <v>19016</v>
      </c>
      <c r="U7" s="3">
        <v>20980</v>
      </c>
      <c r="V7" s="3">
        <v>21536</v>
      </c>
      <c r="W7" s="3">
        <v>22860</v>
      </c>
      <c r="X7" s="3">
        <v>21624</v>
      </c>
      <c r="Y7" s="3">
        <v>21980</v>
      </c>
    </row>
    <row r="8" spans="1:25" x14ac:dyDescent="0.35">
      <c r="A8" s="3">
        <v>168</v>
      </c>
      <c r="B8" s="3">
        <v>3061584</v>
      </c>
      <c r="C8" s="3">
        <v>3237920</v>
      </c>
      <c r="D8" s="3">
        <v>2984056</v>
      </c>
      <c r="E8" s="3">
        <v>2937020</v>
      </c>
      <c r="F8" s="3">
        <v>3067408</v>
      </c>
      <c r="G8" s="3">
        <v>3243160</v>
      </c>
      <c r="H8" s="3">
        <v>2990704</v>
      </c>
      <c r="I8" s="3">
        <v>2941560</v>
      </c>
      <c r="J8" s="3">
        <v>5944</v>
      </c>
      <c r="K8" s="3">
        <v>5320</v>
      </c>
      <c r="L8" s="3">
        <v>6688</v>
      </c>
      <c r="M8" s="3">
        <v>4620</v>
      </c>
      <c r="N8" s="3">
        <v>3157416</v>
      </c>
      <c r="O8" s="3">
        <v>3496420</v>
      </c>
      <c r="P8" s="3">
        <v>3083904</v>
      </c>
      <c r="Q8" s="3">
        <v>3119620</v>
      </c>
      <c r="R8" s="3">
        <v>17608</v>
      </c>
      <c r="S8" s="3">
        <v>24320</v>
      </c>
      <c r="T8" s="3">
        <v>19712</v>
      </c>
      <c r="U8" s="3">
        <v>20000</v>
      </c>
      <c r="V8" s="3">
        <v>23544</v>
      </c>
      <c r="W8" s="3">
        <v>29620</v>
      </c>
      <c r="X8" s="3">
        <v>26376</v>
      </c>
      <c r="Y8" s="3">
        <v>24620</v>
      </c>
    </row>
    <row r="9" spans="1:25" x14ac:dyDescent="0.35">
      <c r="A9" s="3">
        <v>264</v>
      </c>
      <c r="B9" s="3">
        <v>2703240</v>
      </c>
      <c r="C9" s="3">
        <v>2603820</v>
      </c>
      <c r="D9" s="3">
        <v>2217320</v>
      </c>
      <c r="E9" s="3">
        <v>2156680</v>
      </c>
      <c r="F9" s="3">
        <v>2705208</v>
      </c>
      <c r="G9" s="3">
        <v>2603360</v>
      </c>
      <c r="H9" s="3">
        <v>2217368</v>
      </c>
      <c r="I9" s="3">
        <v>2155200</v>
      </c>
      <c r="J9" s="3">
        <v>3256</v>
      </c>
      <c r="K9" s="3">
        <v>1160</v>
      </c>
      <c r="L9" s="3">
        <v>2632</v>
      </c>
      <c r="M9" s="3">
        <v>960</v>
      </c>
      <c r="N9" s="3">
        <v>2982456</v>
      </c>
      <c r="O9" s="3">
        <v>3262560</v>
      </c>
      <c r="P9" s="3">
        <v>2801800</v>
      </c>
      <c r="Q9" s="3">
        <v>2841880</v>
      </c>
      <c r="R9" s="3">
        <v>25712</v>
      </c>
      <c r="S9" s="3">
        <v>24540</v>
      </c>
      <c r="T9" s="3">
        <v>27312</v>
      </c>
      <c r="U9" s="3">
        <v>24300</v>
      </c>
      <c r="V9" s="3">
        <v>28624</v>
      </c>
      <c r="W9" s="3">
        <v>25300</v>
      </c>
      <c r="X9" s="3">
        <v>29512</v>
      </c>
      <c r="Y9" s="3">
        <v>24940</v>
      </c>
    </row>
    <row r="11" spans="1:25" ht="43.5" x14ac:dyDescent="0.35">
      <c r="A11" s="3" t="s">
        <v>45</v>
      </c>
      <c r="B11" s="3" t="s">
        <v>1</v>
      </c>
      <c r="F11" s="3" t="s">
        <v>2</v>
      </c>
      <c r="J11" s="3" t="s">
        <v>3</v>
      </c>
      <c r="N11" s="3" t="s">
        <v>4</v>
      </c>
      <c r="R11" s="3" t="s">
        <v>5</v>
      </c>
      <c r="V11" s="3" t="s">
        <v>6</v>
      </c>
    </row>
    <row r="12" spans="1:25" x14ac:dyDescent="0.35">
      <c r="A12" s="3" t="s">
        <v>0</v>
      </c>
      <c r="B12" s="3" t="s">
        <v>46</v>
      </c>
      <c r="C12" s="3" t="s">
        <v>47</v>
      </c>
      <c r="F12" s="3" t="s">
        <v>46</v>
      </c>
      <c r="G12" s="3" t="s">
        <v>47</v>
      </c>
      <c r="J12" s="3" t="s">
        <v>46</v>
      </c>
      <c r="K12" s="3" t="s">
        <v>47</v>
      </c>
      <c r="N12" s="3" t="s">
        <v>46</v>
      </c>
      <c r="O12" s="3" t="s">
        <v>47</v>
      </c>
      <c r="R12" s="3" t="s">
        <v>46</v>
      </c>
      <c r="S12" s="3" t="s">
        <v>47</v>
      </c>
      <c r="V12" s="3" t="s">
        <v>46</v>
      </c>
      <c r="W12" s="3" t="s">
        <v>47</v>
      </c>
    </row>
    <row r="13" spans="1:25" x14ac:dyDescent="0.35">
      <c r="A13" s="4">
        <v>0</v>
      </c>
      <c r="B13" s="4">
        <f>AVERAGE(B2:E2)</f>
        <v>751549.5</v>
      </c>
      <c r="C13" s="4">
        <f>_xlfn.STDEV.S(B2:E2)</f>
        <v>41505.731118324693</v>
      </c>
      <c r="F13" s="4">
        <f t="shared" ref="F13:F20" si="0">AVERAGE(F2:I2)</f>
        <v>751594</v>
      </c>
      <c r="G13" s="4">
        <f t="shared" ref="G13:G20" si="1">_xlfn.STDEV.S(F2:I2)</f>
        <v>41481.215829175824</v>
      </c>
      <c r="J13" s="4">
        <f t="shared" ref="J13:J20" si="2">AVERAGE(J2:M2)</f>
        <v>44.5</v>
      </c>
      <c r="K13" s="4">
        <f t="shared" ref="K13:K20" si="3">_xlfn.STDEV.S(J2:M2)</f>
        <v>37.251398184050309</v>
      </c>
      <c r="N13" s="4">
        <f t="shared" ref="N13:N20" si="4">AVERAGE(N2:Q2)</f>
        <v>762992.5</v>
      </c>
      <c r="O13" s="4">
        <f>_xlfn.STDEV.S(N2:Q2)</f>
        <v>46078.800805431849</v>
      </c>
      <c r="R13" s="4">
        <f>AVERAGE(R2:U2)</f>
        <v>305</v>
      </c>
      <c r="S13" s="4">
        <f>_xlfn.STDEV.S(R2:U2)</f>
        <v>53.628350711167691</v>
      </c>
      <c r="V13" s="4">
        <f>AVERAGE(V2:Y2)</f>
        <v>349.5</v>
      </c>
      <c r="W13" s="4">
        <f>_xlfn.STDEV.S(V2:Y2)</f>
        <v>90.293964360858581</v>
      </c>
    </row>
    <row r="14" spans="1:25" x14ac:dyDescent="0.35">
      <c r="A14" s="4">
        <v>24</v>
      </c>
      <c r="B14" s="4">
        <f>AVERAGE(B3:E3)</f>
        <v>1465110.5</v>
      </c>
      <c r="C14" s="4">
        <f t="shared" ref="C14:C20" si="5">_xlfn.STDEV.S(B3:E3)</f>
        <v>155425.65297809325</v>
      </c>
      <c r="F14" s="4">
        <f t="shared" si="0"/>
        <v>1466386.5</v>
      </c>
      <c r="G14" s="4">
        <f t="shared" si="1"/>
        <v>155014.38525397141</v>
      </c>
      <c r="J14" s="4">
        <f t="shared" si="2"/>
        <v>1276.5</v>
      </c>
      <c r="K14" s="4">
        <f t="shared" si="3"/>
        <v>463.46628787863307</v>
      </c>
      <c r="N14" s="4">
        <f t="shared" si="4"/>
        <v>1484526.5</v>
      </c>
      <c r="O14" s="4">
        <f t="shared" ref="O14:O20" si="6">_xlfn.STDEV.S(N3:Q3)</f>
        <v>158720.49095501186</v>
      </c>
      <c r="R14" s="4">
        <f t="shared" ref="R14:R20" si="7">AVERAGE(R3:U3)</f>
        <v>7300</v>
      </c>
      <c r="S14" s="4">
        <f t="shared" ref="S14:S20" si="8">_xlfn.STDEV.S(R3:U3)</f>
        <v>765.43321067223098</v>
      </c>
      <c r="V14" s="4">
        <f t="shared" ref="V14:V20" si="9">AVERAGE(V3:Y3)</f>
        <v>8576</v>
      </c>
      <c r="W14" s="4">
        <f t="shared" ref="W14:W20" si="10">_xlfn.STDEV.S(V3:Y3)</f>
        <v>551.48768496374123</v>
      </c>
    </row>
    <row r="15" spans="1:25" x14ac:dyDescent="0.35">
      <c r="A15" s="4">
        <v>46</v>
      </c>
      <c r="B15" s="4">
        <f t="shared" ref="B15:B20" si="11">AVERAGE(B4:E4)</f>
        <v>2055654</v>
      </c>
      <c r="C15" s="4">
        <f t="shared" si="5"/>
        <v>139317.38274888744</v>
      </c>
      <c r="F15" s="4">
        <f t="shared" si="0"/>
        <v>2057522</v>
      </c>
      <c r="G15" s="4">
        <f t="shared" si="1"/>
        <v>139019.70686201291</v>
      </c>
      <c r="J15" s="4">
        <f t="shared" si="2"/>
        <v>1876</v>
      </c>
      <c r="K15" s="4">
        <f t="shared" si="3"/>
        <v>424.20121011928603</v>
      </c>
      <c r="N15" s="4">
        <f t="shared" si="4"/>
        <v>2090052</v>
      </c>
      <c r="O15" s="4">
        <f t="shared" si="6"/>
        <v>143367.78691649437</v>
      </c>
      <c r="R15" s="4">
        <f t="shared" si="7"/>
        <v>15536</v>
      </c>
      <c r="S15" s="4">
        <f t="shared" si="8"/>
        <v>3290.8892415272808</v>
      </c>
      <c r="V15" s="4">
        <f t="shared" si="9"/>
        <v>17411</v>
      </c>
      <c r="W15" s="4">
        <f t="shared" si="10"/>
        <v>2997.9857682561915</v>
      </c>
    </row>
    <row r="16" spans="1:25" x14ac:dyDescent="0.35">
      <c r="A16" s="4">
        <v>70</v>
      </c>
      <c r="B16" s="4">
        <f t="shared" si="11"/>
        <v>2149559</v>
      </c>
      <c r="C16" s="4">
        <f t="shared" si="5"/>
        <v>204556.79675174164</v>
      </c>
      <c r="F16" s="4">
        <f t="shared" si="0"/>
        <v>2152235</v>
      </c>
      <c r="G16" s="4">
        <f t="shared" si="1"/>
        <v>204209.16219406025</v>
      </c>
      <c r="J16" s="4">
        <f t="shared" si="2"/>
        <v>2679</v>
      </c>
      <c r="K16" s="4">
        <f t="shared" si="3"/>
        <v>603.15945929192992</v>
      </c>
      <c r="N16" s="4">
        <f t="shared" si="4"/>
        <v>2205761</v>
      </c>
      <c r="O16" s="4">
        <f t="shared" si="6"/>
        <v>218491.88676012662</v>
      </c>
      <c r="R16" s="4">
        <f t="shared" si="7"/>
        <v>18143</v>
      </c>
      <c r="S16" s="4">
        <f t="shared" si="8"/>
        <v>3418.9657305487381</v>
      </c>
      <c r="V16" s="4">
        <f t="shared" si="9"/>
        <v>20822</v>
      </c>
      <c r="W16" s="4">
        <f t="shared" si="10"/>
        <v>2984.5549081898293</v>
      </c>
    </row>
    <row r="17" spans="1:25" x14ac:dyDescent="0.35">
      <c r="A17" s="4">
        <v>96</v>
      </c>
      <c r="B17" s="4">
        <f t="shared" si="11"/>
        <v>3017883</v>
      </c>
      <c r="C17" s="4">
        <f t="shared" si="5"/>
        <v>116727.39448247214</v>
      </c>
      <c r="F17" s="4">
        <f t="shared" si="0"/>
        <v>3019642</v>
      </c>
      <c r="G17" s="4">
        <f t="shared" si="1"/>
        <v>116104.16203851896</v>
      </c>
      <c r="J17" s="4">
        <f t="shared" si="2"/>
        <v>1766</v>
      </c>
      <c r="K17" s="4">
        <f t="shared" si="3"/>
        <v>799.28968465757146</v>
      </c>
      <c r="N17" s="4">
        <f t="shared" si="4"/>
        <v>3130994</v>
      </c>
      <c r="O17" s="4">
        <f t="shared" si="6"/>
        <v>183541.74350993472</v>
      </c>
      <c r="R17" s="4">
        <f t="shared" si="7"/>
        <v>21751</v>
      </c>
      <c r="S17" s="4">
        <f t="shared" si="8"/>
        <v>2669.0729976279531</v>
      </c>
      <c r="V17" s="4">
        <f t="shared" si="9"/>
        <v>23517</v>
      </c>
      <c r="W17" s="4">
        <f t="shared" si="10"/>
        <v>1991.6984376824385</v>
      </c>
    </row>
    <row r="18" spans="1:25" x14ac:dyDescent="0.35">
      <c r="A18" s="4">
        <v>120</v>
      </c>
      <c r="B18" s="4">
        <f t="shared" si="11"/>
        <v>2985413</v>
      </c>
      <c r="C18" s="4">
        <f t="shared" si="5"/>
        <v>35575.428730140884</v>
      </c>
      <c r="F18" s="4">
        <f t="shared" si="0"/>
        <v>2987254</v>
      </c>
      <c r="G18" s="4">
        <f t="shared" si="1"/>
        <v>36496.991437651406</v>
      </c>
      <c r="J18" s="4">
        <f t="shared" si="2"/>
        <v>1868</v>
      </c>
      <c r="K18" s="4">
        <f t="shared" si="3"/>
        <v>958.8771210813893</v>
      </c>
      <c r="N18" s="4">
        <f t="shared" si="4"/>
        <v>3091793</v>
      </c>
      <c r="O18" s="4">
        <f t="shared" si="6"/>
        <v>15537.47551352321</v>
      </c>
      <c r="R18" s="4">
        <f t="shared" si="7"/>
        <v>20134</v>
      </c>
      <c r="S18" s="4">
        <f t="shared" si="8"/>
        <v>1479.0573574634172</v>
      </c>
      <c r="V18" s="4">
        <f t="shared" si="9"/>
        <v>22000</v>
      </c>
      <c r="W18" s="4">
        <f t="shared" si="10"/>
        <v>604.61337508637143</v>
      </c>
    </row>
    <row r="19" spans="1:25" x14ac:dyDescent="0.35">
      <c r="A19" s="4">
        <v>168</v>
      </c>
      <c r="B19" s="4">
        <f t="shared" si="11"/>
        <v>3055145</v>
      </c>
      <c r="C19" s="4">
        <f t="shared" si="5"/>
        <v>132231.26570772385</v>
      </c>
      <c r="F19" s="4">
        <f t="shared" si="0"/>
        <v>3060708</v>
      </c>
      <c r="G19" s="4">
        <f t="shared" si="1"/>
        <v>132199.8842964698</v>
      </c>
      <c r="J19" s="4">
        <f t="shared" si="2"/>
        <v>5643</v>
      </c>
      <c r="K19" s="4">
        <f t="shared" si="3"/>
        <v>881.94557655220422</v>
      </c>
      <c r="N19" s="4">
        <f t="shared" si="4"/>
        <v>3214340</v>
      </c>
      <c r="O19" s="4">
        <f t="shared" si="6"/>
        <v>190433.62507008403</v>
      </c>
      <c r="R19" s="4">
        <f t="shared" si="7"/>
        <v>20410</v>
      </c>
      <c r="S19" s="4">
        <f t="shared" si="8"/>
        <v>2816.2982796571814</v>
      </c>
      <c r="V19" s="4">
        <f t="shared" si="9"/>
        <v>26040</v>
      </c>
      <c r="W19" s="4">
        <f t="shared" si="10"/>
        <v>2656.79706915426</v>
      </c>
    </row>
    <row r="20" spans="1:25" x14ac:dyDescent="0.35">
      <c r="A20" s="4">
        <v>264</v>
      </c>
      <c r="B20" s="4">
        <f t="shared" si="11"/>
        <v>2420265</v>
      </c>
      <c r="C20" s="4">
        <f t="shared" si="5"/>
        <v>273514.78564543213</v>
      </c>
      <c r="F20" s="4">
        <f t="shared" si="0"/>
        <v>2420284</v>
      </c>
      <c r="G20" s="4">
        <f t="shared" si="1"/>
        <v>274555.96737520263</v>
      </c>
      <c r="J20" s="4">
        <f t="shared" si="2"/>
        <v>2002</v>
      </c>
      <c r="K20" s="4">
        <f t="shared" si="3"/>
        <v>1120.1404673819559</v>
      </c>
      <c r="N20" s="4">
        <f t="shared" si="4"/>
        <v>2972174</v>
      </c>
      <c r="O20" s="4">
        <f t="shared" si="6"/>
        <v>208513.44867258164</v>
      </c>
      <c r="R20" s="4">
        <f t="shared" si="7"/>
        <v>25466</v>
      </c>
      <c r="S20" s="4">
        <f t="shared" si="8"/>
        <v>1376.621952461895</v>
      </c>
      <c r="V20" s="4">
        <f t="shared" si="9"/>
        <v>27094</v>
      </c>
      <c r="W20" s="4">
        <f t="shared" si="10"/>
        <v>2312.7023154742592</v>
      </c>
    </row>
    <row r="22" spans="1:25" ht="43.5" x14ac:dyDescent="0.35">
      <c r="A22" s="3" t="s">
        <v>0</v>
      </c>
      <c r="B22" s="3" t="s">
        <v>48</v>
      </c>
      <c r="C22" s="3" t="s">
        <v>49</v>
      </c>
      <c r="D22" s="3" t="s">
        <v>50</v>
      </c>
      <c r="E22" s="3" t="s">
        <v>51</v>
      </c>
      <c r="F22" s="3" t="s">
        <v>48</v>
      </c>
      <c r="G22" s="3" t="s">
        <v>49</v>
      </c>
      <c r="H22" s="3" t="s">
        <v>50</v>
      </c>
      <c r="I22" s="3" t="s">
        <v>51</v>
      </c>
      <c r="J22" s="3" t="s">
        <v>48</v>
      </c>
      <c r="K22" s="3" t="s">
        <v>49</v>
      </c>
      <c r="L22" s="3" t="s">
        <v>50</v>
      </c>
      <c r="M22" s="3" t="s">
        <v>51</v>
      </c>
      <c r="N22" s="3" t="s">
        <v>48</v>
      </c>
      <c r="O22" s="3" t="s">
        <v>49</v>
      </c>
      <c r="P22" s="3" t="s">
        <v>50</v>
      </c>
      <c r="Q22" s="3" t="s">
        <v>51</v>
      </c>
      <c r="R22" s="3" t="s">
        <v>48</v>
      </c>
      <c r="S22" s="3" t="s">
        <v>49</v>
      </c>
      <c r="T22" s="3" t="s">
        <v>50</v>
      </c>
      <c r="U22" s="3" t="s">
        <v>51</v>
      </c>
      <c r="V22" s="3" t="s">
        <v>48</v>
      </c>
      <c r="W22" s="3" t="s">
        <v>49</v>
      </c>
      <c r="X22" s="3" t="s">
        <v>50</v>
      </c>
      <c r="Y22" s="3" t="s">
        <v>51</v>
      </c>
    </row>
    <row r="23" spans="1:25" x14ac:dyDescent="0.35">
      <c r="A23" s="4">
        <v>0</v>
      </c>
      <c r="C23" s="4"/>
      <c r="G23" s="4"/>
      <c r="K23" s="4"/>
      <c r="O23" s="4"/>
      <c r="S23" s="4"/>
      <c r="W23" s="4"/>
    </row>
    <row r="24" spans="1:25" x14ac:dyDescent="0.35">
      <c r="A24" s="4">
        <v>24</v>
      </c>
      <c r="B24" s="5">
        <f t="shared" ref="B24:B30" si="12">($A14-$A13)/(1/LOG(2)*LOG(B14/B13))</f>
        <v>24.920321316578598</v>
      </c>
      <c r="C24" s="5">
        <f t="shared" ref="C24:C30" si="13">($A14-$A$13)/(1/LOG(2)*LOG(B14/B$13))</f>
        <v>24.920321316578598</v>
      </c>
      <c r="D24" s="3">
        <f>(B14/B13)^(1/($A14-$A13))-1</f>
        <v>2.8204971984431948E-2</v>
      </c>
      <c r="E24" s="3">
        <f>(B14/B$13)^(1/($A14-$A$13))-1</f>
        <v>2.8204971984431948E-2</v>
      </c>
      <c r="F24" s="5">
        <f t="shared" ref="F24:F30" si="14">($A14-$A13)/(1/LOG(2)*LOG(F14/F13))</f>
        <v>24.890070041450041</v>
      </c>
      <c r="G24" s="5">
        <f t="shared" ref="G24:G30" si="15">($A14-$A$13)/(1/LOG(2)*LOG(F14/F$13))</f>
        <v>24.890070041450041</v>
      </c>
      <c r="H24" s="3">
        <f>(F14/F13)^(1/($A14-$A13))-1</f>
        <v>2.8239731717321526E-2</v>
      </c>
      <c r="I24" s="3">
        <f>(F14/F$13)^(1/($A14-$A$13))-1</f>
        <v>2.8239731717321526E-2</v>
      </c>
      <c r="J24" s="5">
        <f t="shared" ref="J24:J30" si="16">($A14-$A13)/(1/LOG(2)*LOG(J14/J13))</f>
        <v>4.9563793274092136</v>
      </c>
      <c r="K24" s="5">
        <f t="shared" ref="K24:K30" si="17">($A14-$A$13)/(1/LOG(2)*LOG(J14/J$13))</f>
        <v>4.9563793274092136</v>
      </c>
      <c r="L24" s="3">
        <f>(J14/J13)^(1/($A14-$A13))-1</f>
        <v>0.15010069795352909</v>
      </c>
      <c r="M24" s="3">
        <f>(J14/J$13)^(1/($A14-$A$13))-1</f>
        <v>0.15010069795352909</v>
      </c>
      <c r="N24" s="5">
        <f t="shared" ref="N24:N30" si="18">($A14-$A13)/(1/LOG(2)*LOG(N14/N13))</f>
        <v>24.99317723047962</v>
      </c>
      <c r="O24" s="5">
        <f t="shared" ref="O24:O30" si="19">($A14-$A$13)/(1/LOG(2)*LOG(N14/N$13))</f>
        <v>24.99317723047962</v>
      </c>
      <c r="P24" s="3">
        <f>(N14/N13)^(1/($A14-$A13))-1</f>
        <v>2.8121608231423512E-2</v>
      </c>
      <c r="Q24" s="3">
        <f>(N14/N$13)^(1/($A14-$A$13))-1</f>
        <v>2.8121608231423512E-2</v>
      </c>
      <c r="R24" s="5">
        <f t="shared" ref="R24:R30" si="20">($A14-$A13)/(1/LOG(2)*LOG(R14/R13))</f>
        <v>5.2390132630869948</v>
      </c>
      <c r="S24" s="5">
        <f t="shared" ref="S24:S30" si="21">($A14-$A$13)/(1/LOG(2)*LOG(R14/R$13))</f>
        <v>5.2390132630869948</v>
      </c>
      <c r="T24" s="3">
        <f>(R14/R13)^(1/($A14-$A13))-1</f>
        <v>0.14145630815550625</v>
      </c>
      <c r="U24" s="3">
        <f>(R14/R$13)^(1/($A14-$A$13))-1</f>
        <v>0.14145630815550625</v>
      </c>
      <c r="V24" s="5">
        <f t="shared" ref="V24:V30" si="22">($A14-$A13)/(1/LOG(2)*LOG(V14/V13))</f>
        <v>5.1982475766475353</v>
      </c>
      <c r="W24" s="5">
        <f t="shared" ref="W24:W30" si="23">($A14-$A$13)/(1/LOG(2)*LOG(V14/V$13))</f>
        <v>5.1982475766475353</v>
      </c>
      <c r="X24" s="3">
        <f>(V14/V13)^(1/($A14-$A13))-1</f>
        <v>0.14264125366259206</v>
      </c>
      <c r="Y24" s="3">
        <f>(V14/V$13)^(1/($A14-$A$13))-1</f>
        <v>0.14264125366259206</v>
      </c>
    </row>
    <row r="25" spans="1:25" x14ac:dyDescent="0.35">
      <c r="A25" s="4">
        <v>46</v>
      </c>
      <c r="B25" s="5">
        <f t="shared" si="12"/>
        <v>45.027714558939103</v>
      </c>
      <c r="C25" s="5">
        <f t="shared" si="13"/>
        <v>31.687917068677386</v>
      </c>
      <c r="D25" s="3">
        <f t="shared" ref="D25:D30" si="24">(B15/B14)^(1/($A15-$A14))-1</f>
        <v>1.5512884672105542E-2</v>
      </c>
      <c r="E25" s="3">
        <f t="shared" ref="E25:E30" si="25">(B15/B$13)^(1/($A15-$A$13))-1</f>
        <v>2.2115173163901103E-2</v>
      </c>
      <c r="F25" s="5">
        <f t="shared" si="14"/>
        <v>45.02269524575793</v>
      </c>
      <c r="G25" s="5">
        <f t="shared" si="15"/>
        <v>31.661199791982945</v>
      </c>
      <c r="H25" s="3">
        <f t="shared" ref="H25:H30" si="26">(F15/F14)^(1/($A15-$A14))-1</f>
        <v>1.5514627458543595E-2</v>
      </c>
      <c r="I25" s="3">
        <f t="shared" ref="I25:I30" si="27">(F15/F$13)^(1/($A15-$A$13))-1</f>
        <v>2.2134040058869875E-2</v>
      </c>
      <c r="J25" s="5">
        <f t="shared" si="16"/>
        <v>39.606363863615037</v>
      </c>
      <c r="K25" s="5">
        <f t="shared" si="17"/>
        <v>8.522131457923825</v>
      </c>
      <c r="L25" s="3">
        <f t="shared" ref="L25:L30" si="28">(J15/J14)^(1/($A15-$A14))-1</f>
        <v>1.7654942336362334E-2</v>
      </c>
      <c r="M25" s="3">
        <f>(J15/J$13)^(1/($A15-$A$13))-1</f>
        <v>8.4734173102730459E-2</v>
      </c>
      <c r="N25" s="5">
        <f t="shared" si="18"/>
        <v>44.576283094034729</v>
      </c>
      <c r="O25" s="5">
        <f t="shared" si="19"/>
        <v>31.641258439895644</v>
      </c>
      <c r="P25" s="3">
        <f t="shared" ref="P25:P30" si="29">(N15/N14)^(1/($A15-$A14))-1</f>
        <v>1.5671210883952513E-2</v>
      </c>
      <c r="Q25" s="3">
        <f t="shared" ref="Q25:Q30" si="30">(N15/N$13)^(1/($A15-$A$13))-1</f>
        <v>2.2148143003284382E-2</v>
      </c>
      <c r="R25" s="5">
        <f t="shared" si="20"/>
        <v>20.190029720389791</v>
      </c>
      <c r="S25" s="5">
        <f t="shared" si="21"/>
        <v>8.1119275968696023</v>
      </c>
      <c r="T25" s="3">
        <f t="shared" ref="T25:T30" si="31">(R15/R14)^(1/($A15-$A14))-1</f>
        <v>3.4927278543988027E-2</v>
      </c>
      <c r="U25" s="3">
        <f t="shared" ref="U25:U30" si="32">(R15/R$13)^(1/($A15-$A$13))-1</f>
        <v>8.9204812624735563E-2</v>
      </c>
      <c r="V25" s="5">
        <f t="shared" si="22"/>
        <v>21.534378171316355</v>
      </c>
      <c r="W25" s="5">
        <f t="shared" si="23"/>
        <v>8.158107238702037</v>
      </c>
      <c r="X25" s="3">
        <f t="shared" ref="X25:X30" si="33">(V15/V14)^(1/($A15-$A14))-1</f>
        <v>3.2711570471346763E-2</v>
      </c>
      <c r="Y25" s="3">
        <f t="shared" ref="Y25:Y30" si="34">(V15/V$13)^(1/($A15-$A$13))-1</f>
        <v>8.8678108073978246E-2</v>
      </c>
    </row>
    <row r="26" spans="1:25" x14ac:dyDescent="0.35">
      <c r="A26" s="4">
        <v>70</v>
      </c>
      <c r="B26" s="5">
        <f t="shared" si="12"/>
        <v>372.42067668170017</v>
      </c>
      <c r="C26" s="5">
        <f t="shared" si="13"/>
        <v>46.171076328437493</v>
      </c>
      <c r="D26" s="3">
        <f t="shared" si="24"/>
        <v>1.8629272355252802E-3</v>
      </c>
      <c r="E26" s="3">
        <f t="shared" si="25"/>
        <v>1.5125839292434717E-2</v>
      </c>
      <c r="F26" s="5">
        <f t="shared" si="14"/>
        <v>369.6416062219929</v>
      </c>
      <c r="G26" s="5">
        <f t="shared" si="15"/>
        <v>46.119074667452303</v>
      </c>
      <c r="H26" s="3">
        <f t="shared" si="26"/>
        <v>1.8769463870629277E-3</v>
      </c>
      <c r="I26" s="3">
        <f t="shared" si="27"/>
        <v>1.5143022951648044E-2</v>
      </c>
      <c r="J26" s="5">
        <f t="shared" si="16"/>
        <v>46.689450167841919</v>
      </c>
      <c r="K26" s="5">
        <f t="shared" si="17"/>
        <v>11.840834618324273</v>
      </c>
      <c r="L26" s="3">
        <f t="shared" si="28"/>
        <v>1.495665366435972E-2</v>
      </c>
      <c r="M26" s="3">
        <f>(J16/J$13)^(1/($A16-$A$13))-1</f>
        <v>6.0286028275075454E-2</v>
      </c>
      <c r="N26" s="5">
        <f t="shared" si="18"/>
        <v>308.73073962595936</v>
      </c>
      <c r="O26" s="5">
        <f t="shared" si="19"/>
        <v>45.705757993199583</v>
      </c>
      <c r="P26" s="3">
        <f t="shared" si="29"/>
        <v>2.2476734067800042E-3</v>
      </c>
      <c r="Q26" s="3">
        <f t="shared" si="30"/>
        <v>1.5281002155178136E-2</v>
      </c>
      <c r="R26" s="5">
        <f t="shared" si="20"/>
        <v>107.23960080359858</v>
      </c>
      <c r="S26" s="5">
        <f t="shared" si="21"/>
        <v>11.875557774058501</v>
      </c>
      <c r="T26" s="3">
        <f t="shared" si="31"/>
        <v>6.4844712294500617E-3</v>
      </c>
      <c r="U26" s="3">
        <f t="shared" si="32"/>
        <v>6.010456272532938E-2</v>
      </c>
      <c r="V26" s="5">
        <f t="shared" si="22"/>
        <v>92.983761895294577</v>
      </c>
      <c r="W26" s="5">
        <f t="shared" si="23"/>
        <v>11.871102114301049</v>
      </c>
      <c r="X26" s="3">
        <f t="shared" si="33"/>
        <v>7.4823510021202466E-3</v>
      </c>
      <c r="Y26" s="3">
        <f t="shared" si="34"/>
        <v>6.0127787199200089E-2</v>
      </c>
    </row>
    <row r="27" spans="1:25" x14ac:dyDescent="0.35">
      <c r="A27" s="4">
        <v>96</v>
      </c>
      <c r="B27" s="5">
        <f t="shared" si="12"/>
        <v>53.115839927759161</v>
      </c>
      <c r="C27" s="5">
        <f t="shared" si="13"/>
        <v>47.866050655192183</v>
      </c>
      <c r="D27" s="3">
        <f t="shared" si="24"/>
        <v>1.3135245713794541E-2</v>
      </c>
      <c r="E27" s="3">
        <f t="shared" si="25"/>
        <v>1.4586334333131612E-2</v>
      </c>
      <c r="F27" s="5">
        <f t="shared" si="14"/>
        <v>53.219590210828535</v>
      </c>
      <c r="G27" s="5">
        <f t="shared" si="15"/>
        <v>47.848033136820689</v>
      </c>
      <c r="H27" s="3">
        <f t="shared" si="26"/>
        <v>1.310947175845234E-2</v>
      </c>
      <c r="I27" s="3">
        <f t="shared" si="27"/>
        <v>1.4591866801516806E-2</v>
      </c>
      <c r="J27" s="5">
        <f t="shared" si="16"/>
        <v>-43.246175122169369</v>
      </c>
      <c r="K27" s="5">
        <f t="shared" si="17"/>
        <v>18.077270626642026</v>
      </c>
      <c r="L27" s="3">
        <f t="shared" si="28"/>
        <v>-1.5900177909123792E-2</v>
      </c>
      <c r="M27" s="3">
        <f t="shared" ref="M27:M30" si="35">(J17/J$13)^(1/($A17-$A$13))-1</f>
        <v>3.9088176190056334E-2</v>
      </c>
      <c r="N27" s="5">
        <f t="shared" si="18"/>
        <v>51.450074417534474</v>
      </c>
      <c r="O27" s="5">
        <f t="shared" si="19"/>
        <v>47.130906951303231</v>
      </c>
      <c r="P27" s="3">
        <f t="shared" si="29"/>
        <v>1.3563388310514846E-2</v>
      </c>
      <c r="Q27" s="3">
        <f t="shared" si="30"/>
        <v>1.4815527870222445E-2</v>
      </c>
      <c r="R27" s="5">
        <f t="shared" si="20"/>
        <v>99.36228496075141</v>
      </c>
      <c r="S27" s="5">
        <f t="shared" si="21"/>
        <v>15.59421594830042</v>
      </c>
      <c r="T27" s="3">
        <f t="shared" si="31"/>
        <v>7.0003472196318306E-3</v>
      </c>
      <c r="U27" s="3">
        <f t="shared" si="32"/>
        <v>4.5451648994765614E-2</v>
      </c>
      <c r="V27" s="5">
        <f t="shared" si="22"/>
        <v>148.06767542371765</v>
      </c>
      <c r="W27" s="5">
        <f t="shared" si="23"/>
        <v>15.809579502936057</v>
      </c>
      <c r="X27" s="3">
        <f t="shared" si="33"/>
        <v>4.6922606395578548E-3</v>
      </c>
      <c r="Y27" s="3">
        <f t="shared" si="34"/>
        <v>4.4818820122954461E-2</v>
      </c>
    </row>
    <row r="28" spans="1:25" x14ac:dyDescent="0.35">
      <c r="A28" s="4">
        <v>120</v>
      </c>
      <c r="B28" s="5">
        <f t="shared" si="12"/>
        <v>-1537.8357077555249</v>
      </c>
      <c r="C28" s="5">
        <f t="shared" si="13"/>
        <v>60.301795628658269</v>
      </c>
      <c r="D28" s="3">
        <f t="shared" si="24"/>
        <v>-4.5062745633850376E-4</v>
      </c>
      <c r="E28" s="3">
        <f t="shared" si="25"/>
        <v>1.1560953008675545E-2</v>
      </c>
      <c r="F28" s="5">
        <f t="shared" si="14"/>
        <v>-1542.6538265921497</v>
      </c>
      <c r="G28" s="5">
        <f t="shared" si="15"/>
        <v>60.27744328624771</v>
      </c>
      <c r="H28" s="3">
        <f t="shared" si="26"/>
        <v>-4.4922034292349533E-4</v>
      </c>
      <c r="I28" s="3">
        <f t="shared" si="27"/>
        <v>1.156565058884329E-2</v>
      </c>
      <c r="J28" s="5">
        <f t="shared" si="16"/>
        <v>296.26296831731605</v>
      </c>
      <c r="K28" s="5">
        <f t="shared" si="17"/>
        <v>22.257069750559374</v>
      </c>
      <c r="L28" s="3">
        <f t="shared" si="28"/>
        <v>2.3423739825054746E-3</v>
      </c>
      <c r="M28" s="3">
        <f t="shared" si="35"/>
        <v>3.1632797033430027E-2</v>
      </c>
      <c r="N28" s="5">
        <f t="shared" si="18"/>
        <v>-1320.349033768452</v>
      </c>
      <c r="O28" s="5">
        <f t="shared" si="19"/>
        <v>59.444109862297942</v>
      </c>
      <c r="P28" s="3">
        <f t="shared" si="29"/>
        <v>-5.2483491334642807E-4</v>
      </c>
      <c r="Q28" s="3">
        <f t="shared" si="30"/>
        <v>1.1728733963836335E-2</v>
      </c>
      <c r="R28" s="5">
        <f t="shared" si="20"/>
        <v>-215.34723996048567</v>
      </c>
      <c r="S28" s="5">
        <f t="shared" si="21"/>
        <v>19.852165008467878</v>
      </c>
      <c r="T28" s="3">
        <f t="shared" si="31"/>
        <v>-3.213567286317276E-3</v>
      </c>
      <c r="U28" s="3">
        <f t="shared" si="32"/>
        <v>3.5532145941915783E-2</v>
      </c>
      <c r="V28" s="5">
        <f t="shared" si="22"/>
        <v>-249.47893345826151</v>
      </c>
      <c r="W28" s="5">
        <f t="shared" si="23"/>
        <v>20.080095290240646</v>
      </c>
      <c r="X28" s="3">
        <f t="shared" si="33"/>
        <v>-2.7745234803208119E-3</v>
      </c>
      <c r="Y28" s="3">
        <f t="shared" si="34"/>
        <v>3.5121817737868044E-2</v>
      </c>
    </row>
    <row r="29" spans="1:25" x14ac:dyDescent="0.35">
      <c r="A29" s="4">
        <v>168</v>
      </c>
      <c r="B29" s="5">
        <f t="shared" si="12"/>
        <v>1440.994579015515</v>
      </c>
      <c r="C29" s="5">
        <f t="shared" si="13"/>
        <v>83.03263577620632</v>
      </c>
      <c r="D29" s="3">
        <f t="shared" si="24"/>
        <v>4.8113568656704686E-4</v>
      </c>
      <c r="E29" s="3">
        <f t="shared" si="25"/>
        <v>8.38282922295841E-3</v>
      </c>
      <c r="F29" s="5">
        <f t="shared" si="14"/>
        <v>1369.6479464749445</v>
      </c>
      <c r="G29" s="5">
        <f t="shared" si="15"/>
        <v>82.928564624234767</v>
      </c>
      <c r="H29" s="3">
        <f t="shared" si="26"/>
        <v>5.0620497392928065E-4</v>
      </c>
      <c r="I29" s="3">
        <f t="shared" si="27"/>
        <v>8.3933932758484264E-3</v>
      </c>
      <c r="J29" s="5">
        <f t="shared" si="16"/>
        <v>30.094649656884389</v>
      </c>
      <c r="K29" s="5">
        <f t="shared" si="17"/>
        <v>24.046329708670307</v>
      </c>
      <c r="L29" s="3">
        <f t="shared" si="28"/>
        <v>2.3299529748410208E-2</v>
      </c>
      <c r="M29" s="3">
        <f t="shared" si="35"/>
        <v>2.9244962866462609E-2</v>
      </c>
      <c r="N29" s="5">
        <f t="shared" si="18"/>
        <v>855.93831349582342</v>
      </c>
      <c r="O29" s="5">
        <f t="shared" si="19"/>
        <v>80.972371817766259</v>
      </c>
      <c r="P29" s="3">
        <f t="shared" si="29"/>
        <v>8.1013772145710483E-4</v>
      </c>
      <c r="Q29" s="3">
        <f t="shared" si="30"/>
        <v>8.5970364932401733E-3</v>
      </c>
      <c r="R29" s="5">
        <f t="shared" si="20"/>
        <v>2443.6978415016506</v>
      </c>
      <c r="S29" s="5">
        <f t="shared" si="21"/>
        <v>27.703009291110654</v>
      </c>
      <c r="T29" s="3">
        <f t="shared" si="31"/>
        <v>2.8368707562242967E-4</v>
      </c>
      <c r="U29" s="3">
        <f t="shared" si="32"/>
        <v>2.5336289101075549E-2</v>
      </c>
      <c r="V29" s="5">
        <f t="shared" si="22"/>
        <v>197.34738411879297</v>
      </c>
      <c r="W29" s="5">
        <f t="shared" si="23"/>
        <v>27.012715925328319</v>
      </c>
      <c r="X29" s="3">
        <f t="shared" si="33"/>
        <v>3.5184955070473034E-3</v>
      </c>
      <c r="Y29" s="3">
        <f t="shared" si="34"/>
        <v>2.5992085667373876E-2</v>
      </c>
    </row>
    <row r="30" spans="1:25" x14ac:dyDescent="0.35">
      <c r="A30" s="4">
        <v>264</v>
      </c>
      <c r="B30" s="5">
        <f t="shared" si="12"/>
        <v>-285.64981609196423</v>
      </c>
      <c r="C30" s="5">
        <f t="shared" si="13"/>
        <v>156.46994455043799</v>
      </c>
      <c r="D30" s="3">
        <f t="shared" si="24"/>
        <v>-2.4236209471955039E-3</v>
      </c>
      <c r="E30" s="3">
        <f t="shared" si="25"/>
        <v>4.4397327591145785E-3</v>
      </c>
      <c r="F30" s="5">
        <f t="shared" si="14"/>
        <v>-283.44581758161644</v>
      </c>
      <c r="G30" s="5">
        <f t="shared" si="15"/>
        <v>156.47681629909854</v>
      </c>
      <c r="H30" s="3">
        <f t="shared" si="26"/>
        <v>-2.4424433392794542E-3</v>
      </c>
      <c r="I30" s="3">
        <f t="shared" si="27"/>
        <v>4.4395373541294969E-3</v>
      </c>
      <c r="J30" s="5">
        <f t="shared" si="16"/>
        <v>-64.213171659134119</v>
      </c>
      <c r="K30" s="5">
        <f t="shared" si="17"/>
        <v>48.074359427401426</v>
      </c>
      <c r="L30" s="3">
        <f t="shared" si="28"/>
        <v>-1.0736419166425759E-2</v>
      </c>
      <c r="M30" s="3">
        <f t="shared" si="35"/>
        <v>1.4522674235377675E-2</v>
      </c>
      <c r="N30" s="5">
        <f t="shared" si="18"/>
        <v>-849.52773956522344</v>
      </c>
      <c r="O30" s="5">
        <f t="shared" si="19"/>
        <v>134.57181562102639</v>
      </c>
      <c r="P30" s="3">
        <f t="shared" si="29"/>
        <v>-8.1558782444923761E-4</v>
      </c>
      <c r="Q30" s="3">
        <f t="shared" si="30"/>
        <v>5.1640483836588036E-3</v>
      </c>
      <c r="R30" s="5">
        <f t="shared" si="20"/>
        <v>300.66127837215777</v>
      </c>
      <c r="S30" s="5">
        <f t="shared" si="21"/>
        <v>41.35584953918633</v>
      </c>
      <c r="T30" s="3">
        <f t="shared" si="31"/>
        <v>2.3080683768315069E-3</v>
      </c>
      <c r="U30" s="3">
        <f t="shared" si="32"/>
        <v>1.6901805786345481E-2</v>
      </c>
      <c r="V30" s="5">
        <f t="shared" si="22"/>
        <v>1677.0330650404694</v>
      </c>
      <c r="W30" s="5">
        <f t="shared" si="23"/>
        <v>42.061409714024485</v>
      </c>
      <c r="X30" s="3">
        <f t="shared" si="33"/>
        <v>4.134029672362427E-4</v>
      </c>
      <c r="Y30" s="3">
        <f t="shared" si="34"/>
        <v>1.6615943595177818E-2</v>
      </c>
    </row>
    <row r="32" spans="1:25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7" x14ac:dyDescent="0.35">
      <c r="A33" s="4">
        <v>0</v>
      </c>
      <c r="B33" s="5">
        <f>F13/V13</f>
        <v>2150.483547925608</v>
      </c>
      <c r="C33" s="5">
        <f>G13/W13</f>
        <v>459.40186725434626</v>
      </c>
      <c r="D33" s="5">
        <f>F13/(F13+V13)*100</f>
        <v>99.953520444022729</v>
      </c>
      <c r="E33" s="5">
        <f>V13/(F13+V13)*100</f>
        <v>4.6479555977277549E-2</v>
      </c>
    </row>
    <row r="34" spans="1:7" x14ac:dyDescent="0.35">
      <c r="A34" s="4">
        <v>24</v>
      </c>
      <c r="B34" s="5">
        <f t="shared" ref="B34:C34" si="36">F14/V14</f>
        <v>170.98723180970148</v>
      </c>
      <c r="C34" s="5">
        <f t="shared" si="36"/>
        <v>281.08403774086662</v>
      </c>
      <c r="D34" s="5">
        <f>F14/(F14+V14)*100</f>
        <v>99.41856148885141</v>
      </c>
      <c r="E34" s="5">
        <f>V14/(F14+V14)*100</f>
        <v>0.58143851114858858</v>
      </c>
    </row>
    <row r="35" spans="1:7" x14ac:dyDescent="0.35">
      <c r="A35" s="4">
        <v>46</v>
      </c>
      <c r="B35" s="5">
        <f t="shared" ref="B35:C35" si="37">F15/V15</f>
        <v>118.17368330365861</v>
      </c>
      <c r="C35" s="5">
        <f t="shared" si="37"/>
        <v>46.371036291768363</v>
      </c>
      <c r="D35" s="5">
        <f>F15/(F15+V15)*100</f>
        <v>99.160888568450162</v>
      </c>
      <c r="E35" s="5">
        <f>V15/(F15+V15)*100</f>
        <v>0.83911143154983803</v>
      </c>
    </row>
    <row r="36" spans="1:7" x14ac:dyDescent="0.35">
      <c r="A36" s="4">
        <v>70</v>
      </c>
      <c r="B36" s="5">
        <f t="shared" ref="B36:C36" si="38">F16/V16</f>
        <v>103.36350974930362</v>
      </c>
      <c r="C36" s="5">
        <f t="shared" si="38"/>
        <v>68.42198199594047</v>
      </c>
      <c r="D36" s="5">
        <f>F16/(F16+V16)*100</f>
        <v>99.041810684211228</v>
      </c>
      <c r="E36" s="5">
        <f>V16/(F16+V16)*100</f>
        <v>0.95818931578877131</v>
      </c>
    </row>
    <row r="37" spans="1:7" x14ac:dyDescent="0.35">
      <c r="A37" s="4">
        <v>96</v>
      </c>
      <c r="B37" s="5">
        <f t="shared" ref="B37:C37" si="39">F17/V17</f>
        <v>128.40251732789045</v>
      </c>
      <c r="C37" s="5">
        <f t="shared" si="39"/>
        <v>58.294046850596018</v>
      </c>
      <c r="D37" s="5">
        <f>F17/(F17+V17)*100</f>
        <v>99.227217506545003</v>
      </c>
      <c r="E37" s="5">
        <f>V17/(F17+V17)*100</f>
        <v>0.77278249345499206</v>
      </c>
    </row>
    <row r="38" spans="1:7" x14ac:dyDescent="0.35">
      <c r="A38" s="4">
        <v>120</v>
      </c>
      <c r="B38" s="5">
        <f t="shared" ref="B38:C38" si="40">F18/V18</f>
        <v>135.78427272727274</v>
      </c>
      <c r="C38" s="5">
        <f t="shared" si="40"/>
        <v>60.364181378616813</v>
      </c>
      <c r="D38" s="5">
        <f>F18/(F18+V18)*100</f>
        <v>99.268921799223335</v>
      </c>
      <c r="E38" s="5">
        <f>V18/(F18+V18)*100</f>
        <v>0.73107820077667096</v>
      </c>
    </row>
    <row r="39" spans="1:7" x14ac:dyDescent="0.35">
      <c r="A39" s="4">
        <v>168</v>
      </c>
      <c r="B39" s="5">
        <f t="shared" ref="B39:C39" si="41">F19/V19</f>
        <v>117.53870967741935</v>
      </c>
      <c r="C39" s="5">
        <f t="shared" si="41"/>
        <v>49.759120043953175</v>
      </c>
      <c r="D39" s="5">
        <f>F19/(F19+V19)*100</f>
        <v>99.156393719215174</v>
      </c>
      <c r="E39" s="5">
        <f>V19/(F19+V19)*100</f>
        <v>0.84360628078482602</v>
      </c>
    </row>
    <row r="40" spans="1:7" x14ac:dyDescent="0.35">
      <c r="A40" s="4">
        <v>264</v>
      </c>
      <c r="B40" s="5">
        <f t="shared" ref="B40:C40" si="42">F20/V20</f>
        <v>89.329150365394554</v>
      </c>
      <c r="C40" s="5">
        <f>G20/W20</f>
        <v>118.71651856711192</v>
      </c>
      <c r="D40" s="5">
        <f>F20/(F20+V20)*100</f>
        <v>98.8929376663515</v>
      </c>
      <c r="E40" s="5">
        <f>V20/(F20+V20)*100</f>
        <v>1.1070623336485006</v>
      </c>
    </row>
    <row r="42" spans="1:7" ht="43.5" x14ac:dyDescent="0.35">
      <c r="A42" s="3" t="s">
        <v>0</v>
      </c>
      <c r="B42" s="3" t="s">
        <v>56</v>
      </c>
      <c r="C42" s="3" t="s">
        <v>57</v>
      </c>
      <c r="D42" s="3" t="s">
        <v>58</v>
      </c>
      <c r="E42" s="3" t="s">
        <v>59</v>
      </c>
      <c r="F42" s="3" t="s">
        <v>60</v>
      </c>
      <c r="G42" s="3" t="s">
        <v>47</v>
      </c>
    </row>
    <row r="43" spans="1:7" x14ac:dyDescent="0.35">
      <c r="A43" s="4">
        <v>0</v>
      </c>
      <c r="B43" s="5">
        <f>F2/V2</f>
        <v>1548.079831932773</v>
      </c>
      <c r="C43" s="5">
        <f t="shared" ref="C43:E50" si="43">G2/W2</f>
        <v>2601.7733333333335</v>
      </c>
      <c r="D43" s="5">
        <f t="shared" si="43"/>
        <v>1999.1942857142858</v>
      </c>
      <c r="E43" s="5">
        <f>I2/Y2</f>
        <v>2901.6176470588234</v>
      </c>
      <c r="F43" s="5">
        <f>AVERAGE(B43:E43)</f>
        <v>2262.6662745098038</v>
      </c>
      <c r="G43" s="5">
        <f>_xlfn.STDEV.S(B43:E43)</f>
        <v>606.43870990699554</v>
      </c>
    </row>
    <row r="44" spans="1:7" x14ac:dyDescent="0.35">
      <c r="A44" s="4">
        <v>24</v>
      </c>
      <c r="B44" s="5">
        <f t="shared" ref="B44:B50" si="44">F3/V3</f>
        <v>147.12798408488064</v>
      </c>
      <c r="C44" s="5">
        <f t="shared" si="43"/>
        <v>170.43115124153499</v>
      </c>
      <c r="D44" s="5">
        <f t="shared" si="43"/>
        <v>174.15135967162647</v>
      </c>
      <c r="E44" s="5">
        <f t="shared" si="43"/>
        <v>193.7939534883721</v>
      </c>
      <c r="F44" s="5">
        <f t="shared" ref="F44:F50" si="45">AVERAGE(B44:E44)</f>
        <v>171.37611212160357</v>
      </c>
      <c r="G44" s="5">
        <f t="shared" ref="G44:G50" si="46">_xlfn.STDEV.S(B44:E44)</f>
        <v>19.140935843192857</v>
      </c>
    </row>
    <row r="45" spans="1:7" x14ac:dyDescent="0.35">
      <c r="A45" s="4">
        <v>46</v>
      </c>
      <c r="B45" s="5">
        <f t="shared" si="44"/>
        <v>96.460423634336678</v>
      </c>
      <c r="C45" s="5">
        <f t="shared" si="43"/>
        <v>128.20059395248381</v>
      </c>
      <c r="D45" s="5">
        <f t="shared" si="43"/>
        <v>126.36696832579186</v>
      </c>
      <c r="E45" s="5">
        <f t="shared" si="43"/>
        <v>129.31498079385403</v>
      </c>
      <c r="F45" s="5">
        <f t="shared" si="45"/>
        <v>120.08574167661659</v>
      </c>
      <c r="G45" s="5">
        <f t="shared" si="46"/>
        <v>15.797037095180094</v>
      </c>
    </row>
    <row r="46" spans="1:7" x14ac:dyDescent="0.35">
      <c r="A46" s="4">
        <v>70</v>
      </c>
      <c r="B46" s="5">
        <f t="shared" si="44"/>
        <v>106.16485467051254</v>
      </c>
      <c r="C46" s="5">
        <f t="shared" si="43"/>
        <v>101.65149308084486</v>
      </c>
      <c r="D46" s="5">
        <f t="shared" si="43"/>
        <v>110.33283677378165</v>
      </c>
      <c r="E46" s="5">
        <f t="shared" si="43"/>
        <v>97.489549314173743</v>
      </c>
      <c r="F46" s="5">
        <f t="shared" si="45"/>
        <v>103.9096834598282</v>
      </c>
      <c r="G46" s="5">
        <f t="shared" si="46"/>
        <v>5.5575846648216363</v>
      </c>
    </row>
    <row r="47" spans="1:7" x14ac:dyDescent="0.35">
      <c r="A47" s="4">
        <v>96</v>
      </c>
      <c r="B47" s="5">
        <f t="shared" si="44"/>
        <v>121.65416985462892</v>
      </c>
      <c r="C47" s="5">
        <f t="shared" si="43"/>
        <v>135.67717996289426</v>
      </c>
      <c r="D47" s="5">
        <f t="shared" si="43"/>
        <v>126.85092127303183</v>
      </c>
      <c r="E47" s="5">
        <f t="shared" si="43"/>
        <v>130.91995731056562</v>
      </c>
      <c r="F47" s="5">
        <f t="shared" si="45"/>
        <v>128.77555710028014</v>
      </c>
      <c r="G47" s="5">
        <f t="shared" si="46"/>
        <v>5.9623605439926779</v>
      </c>
    </row>
    <row r="48" spans="1:7" x14ac:dyDescent="0.35">
      <c r="A48" s="4">
        <v>120</v>
      </c>
      <c r="B48" s="5">
        <f t="shared" si="44"/>
        <v>139.96842496285291</v>
      </c>
      <c r="C48" s="5">
        <f t="shared" si="43"/>
        <v>128.94050743657044</v>
      </c>
      <c r="D48" s="5">
        <f t="shared" si="43"/>
        <v>139.74731779504253</v>
      </c>
      <c r="E48" s="5">
        <f t="shared" si="43"/>
        <v>134.90354868061874</v>
      </c>
      <c r="F48" s="5">
        <f t="shared" si="45"/>
        <v>135.88994971877116</v>
      </c>
      <c r="G48" s="5">
        <f t="shared" si="46"/>
        <v>5.189122720786</v>
      </c>
    </row>
    <row r="49" spans="1:7" x14ac:dyDescent="0.35">
      <c r="A49" s="4">
        <v>168</v>
      </c>
      <c r="B49" s="5">
        <f t="shared" si="44"/>
        <v>130.28406388039414</v>
      </c>
      <c r="C49" s="5">
        <f t="shared" si="43"/>
        <v>109.49223497636731</v>
      </c>
      <c r="D49" s="5">
        <f t="shared" si="43"/>
        <v>113.38732180770397</v>
      </c>
      <c r="E49" s="5">
        <f t="shared" si="43"/>
        <v>119.47847278635255</v>
      </c>
      <c r="F49" s="5">
        <f t="shared" si="45"/>
        <v>118.1605233627045</v>
      </c>
      <c r="G49" s="5">
        <f t="shared" si="46"/>
        <v>9.0671550481343424</v>
      </c>
    </row>
    <row r="50" spans="1:7" x14ac:dyDescent="0.35">
      <c r="A50" s="4">
        <v>264</v>
      </c>
      <c r="B50" s="5">
        <f t="shared" si="44"/>
        <v>94.508384572386802</v>
      </c>
      <c r="C50" s="5">
        <f t="shared" si="43"/>
        <v>102.899604743083</v>
      </c>
      <c r="D50" s="5">
        <f t="shared" si="43"/>
        <v>75.134453781512605</v>
      </c>
      <c r="E50" s="5">
        <f t="shared" si="43"/>
        <v>86.41539695268645</v>
      </c>
      <c r="F50" s="5">
        <f t="shared" si="45"/>
        <v>89.739460012417226</v>
      </c>
      <c r="G50" s="5">
        <f t="shared" si="46"/>
        <v>11.836210725573904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F747-F6A9-4D72-B9A5-093B82A47DF0}">
  <dimension ref="A1:Y50"/>
  <sheetViews>
    <sheetView topLeftCell="A40" workbookViewId="0">
      <selection activeCell="F43" sqref="F43:G50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5</v>
      </c>
      <c r="S1" t="s">
        <v>5</v>
      </c>
      <c r="T1" t="s">
        <v>5</v>
      </c>
      <c r="U1" t="s">
        <v>5</v>
      </c>
      <c r="V1" t="s">
        <v>6</v>
      </c>
      <c r="W1" t="s">
        <v>6</v>
      </c>
      <c r="X1" t="s">
        <v>6</v>
      </c>
      <c r="Y1" t="s">
        <v>6</v>
      </c>
    </row>
    <row r="2" spans="1:25" x14ac:dyDescent="0.35">
      <c r="A2">
        <v>0</v>
      </c>
      <c r="B2">
        <v>741604</v>
      </c>
      <c r="C2">
        <v>759528</v>
      </c>
      <c r="D2">
        <v>694144</v>
      </c>
      <c r="E2">
        <v>790164</v>
      </c>
      <c r="F2">
        <v>741702</v>
      </c>
      <c r="G2">
        <v>759568</v>
      </c>
      <c r="H2">
        <v>694228</v>
      </c>
      <c r="I2">
        <v>790180</v>
      </c>
      <c r="J2">
        <v>98</v>
      </c>
      <c r="K2">
        <v>40</v>
      </c>
      <c r="L2">
        <v>84</v>
      </c>
      <c r="M2">
        <v>16</v>
      </c>
      <c r="N2">
        <v>748354</v>
      </c>
      <c r="O2">
        <v>777596</v>
      </c>
      <c r="P2">
        <v>702944</v>
      </c>
      <c r="Q2">
        <v>806672</v>
      </c>
      <c r="R2">
        <v>658</v>
      </c>
      <c r="S2">
        <v>492</v>
      </c>
      <c r="T2">
        <v>616</v>
      </c>
      <c r="U2">
        <v>532</v>
      </c>
      <c r="V2">
        <v>756</v>
      </c>
      <c r="W2">
        <v>532</v>
      </c>
      <c r="X2">
        <v>698</v>
      </c>
      <c r="Y2">
        <v>548</v>
      </c>
    </row>
    <row r="3" spans="1:25" x14ac:dyDescent="0.35">
      <c r="A3">
        <v>24</v>
      </c>
      <c r="B3">
        <v>1221700</v>
      </c>
      <c r="C3">
        <v>1531448</v>
      </c>
      <c r="D3">
        <v>1313442</v>
      </c>
      <c r="E3">
        <v>1492968</v>
      </c>
      <c r="F3">
        <v>1223080</v>
      </c>
      <c r="G3">
        <v>1532308</v>
      </c>
      <c r="H3">
        <v>1315110</v>
      </c>
      <c r="I3">
        <v>1493804</v>
      </c>
      <c r="J3">
        <v>1382</v>
      </c>
      <c r="K3">
        <v>860</v>
      </c>
      <c r="L3">
        <v>1674</v>
      </c>
      <c r="M3">
        <v>836</v>
      </c>
      <c r="N3">
        <v>1236132</v>
      </c>
      <c r="O3">
        <v>1552980</v>
      </c>
      <c r="P3">
        <v>1330544</v>
      </c>
      <c r="Q3">
        <v>1513212</v>
      </c>
      <c r="R3">
        <v>5654</v>
      </c>
      <c r="S3">
        <v>7380</v>
      </c>
      <c r="T3">
        <v>6142</v>
      </c>
      <c r="U3">
        <v>7296</v>
      </c>
      <c r="V3">
        <v>7036</v>
      </c>
      <c r="W3">
        <v>8240</v>
      </c>
      <c r="X3">
        <v>7816</v>
      </c>
      <c r="Y3">
        <v>8132</v>
      </c>
    </row>
    <row r="4" spans="1:25" x14ac:dyDescent="0.35">
      <c r="A4">
        <v>46</v>
      </c>
      <c r="B4">
        <v>1995640</v>
      </c>
      <c r="C4">
        <v>1949392</v>
      </c>
      <c r="D4">
        <v>2083952</v>
      </c>
      <c r="E4">
        <v>1950796</v>
      </c>
      <c r="F4">
        <v>1996992</v>
      </c>
      <c r="G4">
        <v>1951720</v>
      </c>
      <c r="H4">
        <v>2085432</v>
      </c>
      <c r="I4">
        <v>1953356</v>
      </c>
      <c r="J4">
        <v>1352</v>
      </c>
      <c r="K4">
        <v>2328</v>
      </c>
      <c r="L4">
        <v>1496</v>
      </c>
      <c r="M4">
        <v>2568</v>
      </c>
      <c r="N4">
        <v>2038656</v>
      </c>
      <c r="O4">
        <v>1975036</v>
      </c>
      <c r="P4">
        <v>2124600</v>
      </c>
      <c r="Q4">
        <v>1978748</v>
      </c>
      <c r="R4">
        <v>17496</v>
      </c>
      <c r="S4">
        <v>12916</v>
      </c>
      <c r="T4">
        <v>15352</v>
      </c>
      <c r="U4">
        <v>14332</v>
      </c>
      <c r="V4">
        <v>18848</v>
      </c>
      <c r="W4">
        <v>15244</v>
      </c>
      <c r="X4">
        <v>16840</v>
      </c>
      <c r="Y4">
        <v>16896</v>
      </c>
    </row>
    <row r="5" spans="1:25" x14ac:dyDescent="0.35">
      <c r="A5">
        <v>70</v>
      </c>
      <c r="B5">
        <v>1959516</v>
      </c>
      <c r="C5">
        <v>2235088</v>
      </c>
      <c r="D5">
        <v>2308720</v>
      </c>
      <c r="E5">
        <v>2688624</v>
      </c>
      <c r="F5">
        <v>1962376</v>
      </c>
      <c r="G5">
        <v>2236792</v>
      </c>
      <c r="H5">
        <v>2313432</v>
      </c>
      <c r="I5">
        <v>2690992</v>
      </c>
      <c r="J5">
        <v>1704</v>
      </c>
      <c r="K5">
        <v>2860</v>
      </c>
      <c r="L5">
        <v>2368</v>
      </c>
      <c r="M5">
        <v>4712</v>
      </c>
      <c r="N5">
        <v>1997988</v>
      </c>
      <c r="O5">
        <v>2299464</v>
      </c>
      <c r="P5">
        <v>2350520</v>
      </c>
      <c r="Q5">
        <v>2752904</v>
      </c>
      <c r="R5">
        <v>15592</v>
      </c>
      <c r="S5">
        <v>17744</v>
      </c>
      <c r="T5">
        <v>19664</v>
      </c>
      <c r="U5">
        <v>22808</v>
      </c>
      <c r="V5">
        <v>18452</v>
      </c>
      <c r="W5">
        <v>19448</v>
      </c>
      <c r="X5">
        <v>24376</v>
      </c>
      <c r="Y5">
        <v>25176</v>
      </c>
    </row>
    <row r="6" spans="1:25" x14ac:dyDescent="0.35">
      <c r="A6">
        <v>96</v>
      </c>
      <c r="B6">
        <v>2945140</v>
      </c>
      <c r="C6">
        <v>2856040</v>
      </c>
      <c r="D6">
        <v>3155480</v>
      </c>
      <c r="E6">
        <v>3222808</v>
      </c>
      <c r="F6">
        <v>2946140</v>
      </c>
      <c r="G6">
        <v>2858552</v>
      </c>
      <c r="H6">
        <v>3156980</v>
      </c>
      <c r="I6">
        <v>3226272</v>
      </c>
      <c r="J6">
        <v>1020</v>
      </c>
      <c r="K6">
        <v>2512</v>
      </c>
      <c r="L6">
        <v>1500</v>
      </c>
      <c r="M6">
        <v>3480</v>
      </c>
      <c r="N6">
        <v>3060860</v>
      </c>
      <c r="O6">
        <v>2907072</v>
      </c>
      <c r="P6">
        <v>3263500</v>
      </c>
      <c r="Q6">
        <v>3277752</v>
      </c>
      <c r="R6">
        <v>22780</v>
      </c>
      <c r="S6">
        <v>17416</v>
      </c>
      <c r="T6">
        <v>23520</v>
      </c>
      <c r="U6">
        <v>22168</v>
      </c>
      <c r="V6">
        <v>23780</v>
      </c>
      <c r="W6">
        <v>19928</v>
      </c>
      <c r="X6">
        <v>25000</v>
      </c>
      <c r="Y6">
        <v>25640</v>
      </c>
    </row>
    <row r="7" spans="1:25" x14ac:dyDescent="0.35">
      <c r="A7">
        <v>120</v>
      </c>
      <c r="B7">
        <v>2933352</v>
      </c>
      <c r="C7">
        <v>2868160</v>
      </c>
      <c r="D7">
        <v>3218752</v>
      </c>
      <c r="E7">
        <v>3168980</v>
      </c>
      <c r="F7">
        <v>2935552</v>
      </c>
      <c r="G7">
        <v>2869280</v>
      </c>
      <c r="H7">
        <v>3222048</v>
      </c>
      <c r="I7">
        <v>3170540</v>
      </c>
      <c r="J7">
        <v>2208</v>
      </c>
      <c r="K7">
        <v>1160</v>
      </c>
      <c r="L7">
        <v>3336</v>
      </c>
      <c r="M7">
        <v>1600</v>
      </c>
      <c r="N7">
        <v>3004312</v>
      </c>
      <c r="O7">
        <v>2985000</v>
      </c>
      <c r="P7">
        <v>3298288</v>
      </c>
      <c r="Q7">
        <v>3301440</v>
      </c>
      <c r="R7">
        <v>16760</v>
      </c>
      <c r="S7">
        <v>22120</v>
      </c>
      <c r="T7">
        <v>22248</v>
      </c>
      <c r="U7">
        <v>24800</v>
      </c>
      <c r="V7">
        <v>18952</v>
      </c>
      <c r="W7">
        <v>23280</v>
      </c>
      <c r="X7">
        <v>25584</v>
      </c>
      <c r="Y7">
        <v>26380</v>
      </c>
    </row>
    <row r="8" spans="1:25" x14ac:dyDescent="0.35">
      <c r="A8">
        <v>168</v>
      </c>
      <c r="B8">
        <v>2913128</v>
      </c>
      <c r="C8">
        <v>2928800</v>
      </c>
      <c r="D8">
        <v>3203912</v>
      </c>
      <c r="E8">
        <v>3188440</v>
      </c>
      <c r="F8">
        <v>2919280</v>
      </c>
      <c r="G8">
        <v>2933840</v>
      </c>
      <c r="H8">
        <v>3212664</v>
      </c>
      <c r="I8">
        <v>3194560</v>
      </c>
      <c r="J8">
        <v>6248</v>
      </c>
      <c r="K8">
        <v>5100</v>
      </c>
      <c r="L8">
        <v>8856</v>
      </c>
      <c r="M8">
        <v>6280</v>
      </c>
      <c r="N8">
        <v>3012160</v>
      </c>
      <c r="O8">
        <v>3068120</v>
      </c>
      <c r="P8">
        <v>3326824</v>
      </c>
      <c r="Q8">
        <v>3346080</v>
      </c>
      <c r="R8">
        <v>17376</v>
      </c>
      <c r="S8">
        <v>21680</v>
      </c>
      <c r="T8">
        <v>23840</v>
      </c>
      <c r="U8">
        <v>22820</v>
      </c>
      <c r="V8">
        <v>23608</v>
      </c>
      <c r="W8">
        <v>26760</v>
      </c>
      <c r="X8">
        <v>32656</v>
      </c>
      <c r="Y8">
        <v>29040</v>
      </c>
    </row>
    <row r="9" spans="1:25" x14ac:dyDescent="0.35">
      <c r="A9">
        <v>264</v>
      </c>
      <c r="B9">
        <v>2870616</v>
      </c>
      <c r="C9">
        <v>2724760</v>
      </c>
      <c r="D9">
        <v>2575104</v>
      </c>
      <c r="E9">
        <v>2497380</v>
      </c>
      <c r="F9">
        <v>2873768</v>
      </c>
      <c r="G9">
        <v>2725500</v>
      </c>
      <c r="H9">
        <v>2575848</v>
      </c>
      <c r="I9">
        <v>2496320</v>
      </c>
      <c r="J9">
        <v>3720</v>
      </c>
      <c r="K9">
        <v>1180</v>
      </c>
      <c r="L9">
        <v>2840</v>
      </c>
      <c r="M9">
        <v>860</v>
      </c>
      <c r="N9">
        <v>3031280</v>
      </c>
      <c r="O9">
        <v>2947800</v>
      </c>
      <c r="P9">
        <v>2975776</v>
      </c>
      <c r="Q9">
        <v>3010460</v>
      </c>
      <c r="R9">
        <v>24720</v>
      </c>
      <c r="S9">
        <v>21040</v>
      </c>
      <c r="T9">
        <v>22112</v>
      </c>
      <c r="U9">
        <v>21000</v>
      </c>
      <c r="V9">
        <v>27864</v>
      </c>
      <c r="W9">
        <v>21660</v>
      </c>
      <c r="X9">
        <v>23968</v>
      </c>
      <c r="Y9">
        <v>21060</v>
      </c>
    </row>
    <row r="11" spans="1:25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5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5" x14ac:dyDescent="0.35">
      <c r="A13" s="2">
        <v>0</v>
      </c>
      <c r="B13" s="2">
        <f>AVERAGE(B2:E2)</f>
        <v>746360</v>
      </c>
      <c r="C13" s="2">
        <f>_xlfn.STDEV.S(B2:E2)</f>
        <v>40171.784592339602</v>
      </c>
      <c r="F13" s="2">
        <f t="shared" ref="F13:F20" si="0">AVERAGE(F2:I2)</f>
        <v>746419.5</v>
      </c>
      <c r="G13" s="2">
        <f t="shared" ref="G13:G20" si="1">_xlfn.STDEV.S(F2:I2)</f>
        <v>40141.715172623102</v>
      </c>
      <c r="J13" s="2">
        <f t="shared" ref="J13:J20" si="2">AVERAGE(J2:M2)</f>
        <v>59.5</v>
      </c>
      <c r="K13" s="2">
        <f t="shared" ref="K13:K20" si="3">_xlfn.STDEV.S(J2:M2)</f>
        <v>38.100743649785457</v>
      </c>
      <c r="N13" s="2">
        <f t="shared" ref="N13:N20" si="4">AVERAGE(N2:Q2)</f>
        <v>758891.5</v>
      </c>
      <c r="O13" s="2">
        <f>_xlfn.STDEV.S(N2:Q2)</f>
        <v>44249.279327464756</v>
      </c>
      <c r="R13" s="2">
        <f>AVERAGE(R2:U2)</f>
        <v>574.5</v>
      </c>
      <c r="S13" s="2">
        <f>_xlfn.STDEV.S(R2:U2)</f>
        <v>75.953933407032977</v>
      </c>
      <c r="V13" s="2">
        <f>AVERAGE(V2:Y2)</f>
        <v>633.5</v>
      </c>
      <c r="W13" s="2">
        <f>_xlfn.STDEV.S(V2:Y2)</f>
        <v>110.72337904285014</v>
      </c>
    </row>
    <row r="14" spans="1:25" x14ac:dyDescent="0.35">
      <c r="A14" s="2">
        <v>24</v>
      </c>
      <c r="B14" s="2">
        <f>AVERAGE(B3:E3)</f>
        <v>1389889.5</v>
      </c>
      <c r="C14" s="2">
        <f t="shared" ref="C14:C20" si="5">_xlfn.STDEV.S(B3:E3)</f>
        <v>146964.75116049653</v>
      </c>
      <c r="F14" s="2">
        <f t="shared" si="0"/>
        <v>1391075.5</v>
      </c>
      <c r="G14" s="2">
        <f t="shared" si="1"/>
        <v>146620.83637623498</v>
      </c>
      <c r="J14" s="2">
        <f t="shared" si="2"/>
        <v>1188</v>
      </c>
      <c r="K14" s="2">
        <f t="shared" si="3"/>
        <v>410.41442469776814</v>
      </c>
      <c r="N14" s="2">
        <f t="shared" si="4"/>
        <v>1408217</v>
      </c>
      <c r="O14" s="2">
        <f t="shared" ref="O14:O20" si="6">_xlfn.STDEV.S(N3:Q3)</f>
        <v>150140.62113898425</v>
      </c>
      <c r="R14" s="2">
        <f t="shared" ref="R14:R20" si="7">AVERAGE(R3:U3)</f>
        <v>6618</v>
      </c>
      <c r="S14" s="2">
        <f t="shared" ref="S14:S20" si="8">_xlfn.STDEV.S(R3:U3)</f>
        <v>855.60894494311276</v>
      </c>
      <c r="V14" s="2">
        <f t="shared" ref="V14:V20" si="9">AVERAGE(V3:Y3)</f>
        <v>7806</v>
      </c>
      <c r="W14" s="2">
        <f t="shared" ref="W14:W20" si="10">_xlfn.STDEV.S(V3:Y3)</f>
        <v>543.94607575874034</v>
      </c>
    </row>
    <row r="15" spans="1:25" x14ac:dyDescent="0.35">
      <c r="A15" s="2">
        <v>46</v>
      </c>
      <c r="B15" s="2">
        <f t="shared" ref="B15:B20" si="11">AVERAGE(B4:E4)</f>
        <v>1994945</v>
      </c>
      <c r="C15" s="2">
        <f t="shared" si="5"/>
        <v>63105.570498966255</v>
      </c>
      <c r="F15" s="2">
        <f t="shared" si="0"/>
        <v>1996875</v>
      </c>
      <c r="G15" s="2">
        <f t="shared" si="1"/>
        <v>62650.441137047601</v>
      </c>
      <c r="J15" s="2">
        <f t="shared" si="2"/>
        <v>1936</v>
      </c>
      <c r="K15" s="2">
        <f t="shared" si="3"/>
        <v>602.14726880833177</v>
      </c>
      <c r="N15" s="2">
        <f t="shared" si="4"/>
        <v>2029260</v>
      </c>
      <c r="O15" s="2">
        <f t="shared" si="6"/>
        <v>69927.831216666993</v>
      </c>
      <c r="R15" s="2">
        <f t="shared" si="7"/>
        <v>15024</v>
      </c>
      <c r="S15" s="2">
        <f t="shared" si="8"/>
        <v>1927.0786180122491</v>
      </c>
      <c r="V15" s="2">
        <f t="shared" si="9"/>
        <v>16957</v>
      </c>
      <c r="W15" s="2">
        <f t="shared" si="10"/>
        <v>1475.0886978980845</v>
      </c>
    </row>
    <row r="16" spans="1:25" x14ac:dyDescent="0.35">
      <c r="A16" s="2">
        <v>70</v>
      </c>
      <c r="B16" s="2">
        <f t="shared" si="11"/>
        <v>2297987</v>
      </c>
      <c r="C16" s="2">
        <f t="shared" si="5"/>
        <v>300683.31352659618</v>
      </c>
      <c r="F16" s="2">
        <f t="shared" si="0"/>
        <v>2300898</v>
      </c>
      <c r="G16" s="2">
        <f t="shared" si="1"/>
        <v>300575.64422953501</v>
      </c>
      <c r="J16" s="2">
        <f t="shared" si="2"/>
        <v>2911</v>
      </c>
      <c r="K16" s="2">
        <f t="shared" si="3"/>
        <v>1290.7233114291639</v>
      </c>
      <c r="N16" s="2">
        <f t="shared" si="4"/>
        <v>2350219</v>
      </c>
      <c r="O16" s="2">
        <f t="shared" si="6"/>
        <v>310267.6517739697</v>
      </c>
      <c r="R16" s="2">
        <f t="shared" si="7"/>
        <v>18952</v>
      </c>
      <c r="S16" s="2">
        <f t="shared" si="8"/>
        <v>3061.8373568823017</v>
      </c>
      <c r="V16" s="2">
        <f t="shared" si="9"/>
        <v>21863</v>
      </c>
      <c r="W16" s="2">
        <f t="shared" si="10"/>
        <v>3403.8352878285204</v>
      </c>
    </row>
    <row r="17" spans="1:25" x14ac:dyDescent="0.35">
      <c r="A17" s="2">
        <v>96</v>
      </c>
      <c r="B17" s="2">
        <f t="shared" si="11"/>
        <v>3044867</v>
      </c>
      <c r="C17" s="2">
        <f t="shared" si="5"/>
        <v>172722.65409030745</v>
      </c>
      <c r="F17" s="2">
        <f t="shared" si="0"/>
        <v>3046986</v>
      </c>
      <c r="G17" s="2">
        <f t="shared" si="1"/>
        <v>173127.54248818991</v>
      </c>
      <c r="J17" s="2">
        <f t="shared" si="2"/>
        <v>2128</v>
      </c>
      <c r="K17" s="2">
        <f t="shared" si="3"/>
        <v>1095.050683758519</v>
      </c>
      <c r="N17" s="2">
        <f t="shared" si="4"/>
        <v>3127296</v>
      </c>
      <c r="O17" s="2">
        <f t="shared" si="6"/>
        <v>177107.20842096367</v>
      </c>
      <c r="R17" s="2">
        <f t="shared" si="7"/>
        <v>21471</v>
      </c>
      <c r="S17" s="2">
        <f t="shared" si="8"/>
        <v>2759.2701933663548</v>
      </c>
      <c r="V17" s="2">
        <f t="shared" si="9"/>
        <v>23587</v>
      </c>
      <c r="W17" s="2">
        <f t="shared" si="10"/>
        <v>2558.444058407375</v>
      </c>
    </row>
    <row r="18" spans="1:25" x14ac:dyDescent="0.35">
      <c r="A18" s="2">
        <v>120</v>
      </c>
      <c r="B18" s="2">
        <f t="shared" si="11"/>
        <v>3047311</v>
      </c>
      <c r="C18" s="2">
        <f t="shared" si="5"/>
        <v>172508.06408590489</v>
      </c>
      <c r="F18" s="2">
        <f t="shared" si="0"/>
        <v>3049355</v>
      </c>
      <c r="G18" s="2">
        <f t="shared" si="1"/>
        <v>173096.12445882973</v>
      </c>
      <c r="J18" s="2">
        <f t="shared" si="2"/>
        <v>2076</v>
      </c>
      <c r="K18" s="2">
        <f t="shared" si="3"/>
        <v>943.51399918955451</v>
      </c>
      <c r="N18" s="2">
        <f t="shared" si="4"/>
        <v>3147260</v>
      </c>
      <c r="O18" s="2">
        <f t="shared" si="6"/>
        <v>176392.9018677717</v>
      </c>
      <c r="R18" s="2">
        <f t="shared" si="7"/>
        <v>21482</v>
      </c>
      <c r="S18" s="2">
        <f t="shared" si="8"/>
        <v>3381.3314931645887</v>
      </c>
      <c r="V18" s="2">
        <f t="shared" si="9"/>
        <v>23549</v>
      </c>
      <c r="W18" s="2">
        <f t="shared" si="10"/>
        <v>3334.694188877495</v>
      </c>
    </row>
    <row r="19" spans="1:25" x14ac:dyDescent="0.35">
      <c r="A19" s="2">
        <v>168</v>
      </c>
      <c r="B19" s="2">
        <f t="shared" si="11"/>
        <v>3058570</v>
      </c>
      <c r="C19" s="2">
        <f t="shared" si="5"/>
        <v>159147.87895539167</v>
      </c>
      <c r="F19" s="2">
        <f t="shared" si="0"/>
        <v>3065086</v>
      </c>
      <c r="G19" s="2">
        <f t="shared" si="1"/>
        <v>160236.99626074705</v>
      </c>
      <c r="J19" s="2">
        <f t="shared" si="2"/>
        <v>6621</v>
      </c>
      <c r="K19" s="2">
        <f t="shared" si="3"/>
        <v>1587.8786687485497</v>
      </c>
      <c r="N19" s="2">
        <f t="shared" si="4"/>
        <v>3188296</v>
      </c>
      <c r="O19" s="2">
        <f t="shared" si="6"/>
        <v>172773.415115482</v>
      </c>
      <c r="R19" s="2">
        <f t="shared" si="7"/>
        <v>21429</v>
      </c>
      <c r="S19" s="2">
        <f t="shared" si="8"/>
        <v>2842.3940613503964</v>
      </c>
      <c r="V19" s="2">
        <f t="shared" si="9"/>
        <v>28016</v>
      </c>
      <c r="W19" s="2">
        <f t="shared" si="10"/>
        <v>3811.6565077841597</v>
      </c>
    </row>
    <row r="20" spans="1:25" x14ac:dyDescent="0.35">
      <c r="A20" s="2">
        <v>264</v>
      </c>
      <c r="B20" s="2">
        <f t="shared" si="11"/>
        <v>2666965</v>
      </c>
      <c r="C20" s="2">
        <f t="shared" si="5"/>
        <v>165339.55704549351</v>
      </c>
      <c r="F20" s="2">
        <f t="shared" si="0"/>
        <v>2667859</v>
      </c>
      <c r="G20" s="2">
        <f t="shared" si="1"/>
        <v>166945.75346900363</v>
      </c>
      <c r="J20" s="2">
        <f t="shared" si="2"/>
        <v>2150</v>
      </c>
      <c r="K20" s="2">
        <f t="shared" si="3"/>
        <v>1359.6568194462404</v>
      </c>
      <c r="N20" s="2">
        <f t="shared" si="4"/>
        <v>2991329</v>
      </c>
      <c r="O20" s="2">
        <f t="shared" si="6"/>
        <v>36962.806585359111</v>
      </c>
      <c r="R20" s="2">
        <f t="shared" si="7"/>
        <v>22218</v>
      </c>
      <c r="S20" s="2">
        <f t="shared" si="8"/>
        <v>1745.7040604485819</v>
      </c>
      <c r="V20" s="2">
        <f t="shared" si="9"/>
        <v>23638</v>
      </c>
      <c r="W20" s="2">
        <f t="shared" si="10"/>
        <v>3083.642002567743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26.75505899187695</v>
      </c>
      <c r="C24" s="1">
        <f t="shared" ref="C24:C30" si="13">($A14-$A$13)/(1/LOG(2)*LOG(B14/B$13))</f>
        <v>26.75505899187695</v>
      </c>
      <c r="D24">
        <f>(B14/B13)^(1/($A14-$A13))-1</f>
        <v>2.6245651540156789E-2</v>
      </c>
      <c r="E24">
        <f>(B14/B$13)^(1/($A14-$A$13))-1</f>
        <v>2.6245651540156789E-2</v>
      </c>
      <c r="F24" s="1">
        <f t="shared" ref="F24:F30" si="14">($A14-$A13)/(1/LOG(2)*LOG(F14/F13))</f>
        <v>26.721828185202742</v>
      </c>
      <c r="G24" s="1">
        <f t="shared" ref="G24:G30" si="15">($A14-$A$13)/(1/LOG(2)*LOG(F14/F$13))</f>
        <v>26.721828185202742</v>
      </c>
      <c r="H24">
        <f>(F14/F13)^(1/($A14-$A13))-1</f>
        <v>2.6278715326864432E-2</v>
      </c>
      <c r="I24">
        <f>(F14/F$13)^(1/($A14-$A$13))-1</f>
        <v>2.6278715326864432E-2</v>
      </c>
      <c r="J24" s="1">
        <f t="shared" ref="J24:J30" si="16">($A14-$A13)/(1/LOG(2)*LOG(J14/J13))</f>
        <v>5.5561968879505983</v>
      </c>
      <c r="K24" s="1">
        <f t="shared" ref="K24:K30" si="17">($A14-$A$13)/(1/LOG(2)*LOG(J14/J$13))</f>
        <v>5.5561968879505983</v>
      </c>
      <c r="L24">
        <f>(J14/J13)^(1/($A14-$A13))-1</f>
        <v>0.13286757034423169</v>
      </c>
      <c r="M24">
        <f>(J14/J$13)^(1/($A14-$A$13))-1</f>
        <v>0.13286757034423169</v>
      </c>
      <c r="N24" s="1">
        <f t="shared" ref="N24:N30" si="18">($A14-$A13)/(1/LOG(2)*LOG(N14/N13))</f>
        <v>26.90872188974668</v>
      </c>
      <c r="O24" s="1">
        <f t="shared" ref="O24:O30" si="19">($A14-$A$13)/(1/LOG(2)*LOG(N14/N$13))</f>
        <v>26.90872188974668</v>
      </c>
      <c r="P24">
        <f>(N14/N13)^(1/($A14-$A13))-1</f>
        <v>2.6093836533845893E-2</v>
      </c>
      <c r="Q24">
        <f>(N14/N$13)^(1/($A14-$A$13))-1</f>
        <v>2.6093836533845893E-2</v>
      </c>
      <c r="R24" s="1">
        <f t="shared" ref="R24:R30" si="20">($A14-$A13)/(1/LOG(2)*LOG(R14/R13))</f>
        <v>6.8065478545292626</v>
      </c>
      <c r="S24" s="1">
        <f t="shared" ref="S24:S30" si="21">($A14-$A$13)/(1/LOG(2)*LOG(R14/R$13))</f>
        <v>6.8065478545292626</v>
      </c>
      <c r="T24">
        <f>(R14/R13)^(1/($A14-$A13))-1</f>
        <v>0.10720115564255517</v>
      </c>
      <c r="U24">
        <f>(R14/R$13)^(1/($A14-$A$13))-1</f>
        <v>0.10720115564255517</v>
      </c>
      <c r="V24" s="1">
        <f t="shared" ref="V24:V30" si="22">($A14-$A13)/(1/LOG(2)*LOG(V14/V13))</f>
        <v>6.6240392476293604</v>
      </c>
      <c r="W24" s="1">
        <f t="shared" ref="W24:W30" si="23">($A14-$A$13)/(1/LOG(2)*LOG(V14/V$13))</f>
        <v>6.6240392476293604</v>
      </c>
      <c r="X24">
        <f>(V14/V13)^(1/($A14-$A13))-1</f>
        <v>0.11031211945814423</v>
      </c>
      <c r="Y24">
        <f>(V14/V$13)^(1/($A14-$A$13))-1</f>
        <v>0.11031211945814423</v>
      </c>
    </row>
    <row r="25" spans="1:25" x14ac:dyDescent="0.35">
      <c r="A25" s="2">
        <v>46</v>
      </c>
      <c r="B25" s="1">
        <f t="shared" si="12"/>
        <v>42.195809872090443</v>
      </c>
      <c r="C25" s="1">
        <f t="shared" si="13"/>
        <v>32.430784644430183</v>
      </c>
      <c r="D25">
        <f t="shared" ref="D25:D30" si="24">(B15/B14)^(1/($A15-$A14))-1</f>
        <v>1.6562583375596462E-2</v>
      </c>
      <c r="E25">
        <f t="shared" ref="E25:E30" si="25">(B15/B$13)^(1/($A15-$A$13))-1</f>
        <v>2.1603165157731086E-2</v>
      </c>
      <c r="F25" s="1">
        <f t="shared" si="14"/>
        <v>42.182499320040115</v>
      </c>
      <c r="G25" s="1">
        <f t="shared" si="15"/>
        <v>32.401543726411184</v>
      </c>
      <c r="H25">
        <f t="shared" ref="H25:H30" si="26">(F15/F14)^(1/($A15-$A14))-1</f>
        <v>1.6567852702471964E-2</v>
      </c>
      <c r="I25">
        <f t="shared" ref="I25:I30" si="27">(F15/F$13)^(1/($A15-$A$13))-1</f>
        <v>2.1622870306773789E-2</v>
      </c>
      <c r="J25" s="1">
        <f t="shared" si="16"/>
        <v>31.225865755728339</v>
      </c>
      <c r="K25" s="1">
        <f t="shared" si="17"/>
        <v>9.1559680815710198</v>
      </c>
      <c r="L25">
        <f t="shared" ref="L25:L30" si="28">(J15/J14)^(1/($A15-$A14))-1</f>
        <v>2.2446058568476701E-2</v>
      </c>
      <c r="M25">
        <f>(J15/J$13)^(1/($A15-$A$13))-1</f>
        <v>7.8643692976000157E-2</v>
      </c>
      <c r="N25" s="1">
        <f t="shared" si="18"/>
        <v>41.739072972058445</v>
      </c>
      <c r="O25" s="1">
        <f t="shared" si="19"/>
        <v>32.417465192480293</v>
      </c>
      <c r="P25">
        <f t="shared" ref="P25:P30" si="29">(N15/N14)^(1/($A15-$A14))-1</f>
        <v>1.674533135735623E-2</v>
      </c>
      <c r="Q25">
        <f t="shared" ref="Q25:Q30" si="30">(N15/N$13)^(1/($A15-$A$13))-1</f>
        <v>2.1612136541682148E-2</v>
      </c>
      <c r="R25" s="1">
        <f t="shared" si="20"/>
        <v>18.599904508980522</v>
      </c>
      <c r="S25" s="1">
        <f t="shared" si="21"/>
        <v>9.7689053624848619</v>
      </c>
      <c r="T25">
        <f t="shared" ref="T25:T30" si="31">(R15/R14)^(1/($A15-$A14))-1</f>
        <v>3.7969259075765649E-2</v>
      </c>
      <c r="U25">
        <f t="shared" ref="U25:U30" si="32">(R15/R$13)^(1/($A15-$A$13))-1</f>
        <v>7.353231145170791E-2</v>
      </c>
      <c r="V25" s="1">
        <f t="shared" si="22"/>
        <v>19.656448423170019</v>
      </c>
      <c r="W25" s="1">
        <f t="shared" si="23"/>
        <v>9.6997453852315019</v>
      </c>
      <c r="X25">
        <f t="shared" ref="X25:X30" si="33">(V15/V14)^(1/($A15-$A14))-1</f>
        <v>3.5892209560499655E-2</v>
      </c>
      <c r="Y25">
        <f t="shared" ref="Y25:Y30" si="34">(V15/V$13)^(1/($A15-$A$13))-1</f>
        <v>7.4075560592856915E-2</v>
      </c>
    </row>
    <row r="26" spans="1:25" x14ac:dyDescent="0.35">
      <c r="A26" s="2">
        <v>70</v>
      </c>
      <c r="B26" s="1">
        <f t="shared" si="12"/>
        <v>117.63456640803668</v>
      </c>
      <c r="C26" s="1">
        <f t="shared" si="13"/>
        <v>43.145236932046245</v>
      </c>
      <c r="D26">
        <f t="shared" si="24"/>
        <v>5.9097709192283965E-3</v>
      </c>
      <c r="E26">
        <f t="shared" si="25"/>
        <v>1.6195182226759419E-2</v>
      </c>
      <c r="F26" s="1">
        <f t="shared" si="14"/>
        <v>117.3863899720899</v>
      </c>
      <c r="G26" s="1">
        <f t="shared" si="15"/>
        <v>43.09977397333089</v>
      </c>
      <c r="H26">
        <f t="shared" si="26"/>
        <v>5.9223021876693149E-3</v>
      </c>
      <c r="I26">
        <f t="shared" si="27"/>
        <v>1.621240313757788E-2</v>
      </c>
      <c r="J26" s="1">
        <f t="shared" si="16"/>
        <v>40.786091631070931</v>
      </c>
      <c r="K26" s="1">
        <f t="shared" si="17"/>
        <v>12.472201776691048</v>
      </c>
      <c r="L26">
        <f t="shared" si="28"/>
        <v>1.7139926210242962E-2</v>
      </c>
      <c r="M26">
        <f>(J16/J$13)^(1/($A16-$A$13))-1</f>
        <v>5.7148687307186696E-2</v>
      </c>
      <c r="N26" s="1">
        <f t="shared" si="18"/>
        <v>113.29226283235069</v>
      </c>
      <c r="O26" s="1">
        <f t="shared" si="19"/>
        <v>42.922937856827645</v>
      </c>
      <c r="P26">
        <f t="shared" si="29"/>
        <v>6.1369762439886788E-3</v>
      </c>
      <c r="Q26">
        <f t="shared" si="30"/>
        <v>1.6279736589028149E-2</v>
      </c>
      <c r="R26" s="1">
        <f t="shared" si="20"/>
        <v>71.624443906683581</v>
      </c>
      <c r="S26" s="1">
        <f t="shared" si="21"/>
        <v>13.878151493615187</v>
      </c>
      <c r="T26">
        <f t="shared" si="31"/>
        <v>9.7245013289231075E-3</v>
      </c>
      <c r="U26">
        <f t="shared" si="32"/>
        <v>5.1213498037908645E-2</v>
      </c>
      <c r="V26" s="1">
        <f t="shared" si="22"/>
        <v>65.464586850815763</v>
      </c>
      <c r="W26" s="1">
        <f t="shared" si="23"/>
        <v>13.701303502831266</v>
      </c>
      <c r="X26">
        <f t="shared" si="33"/>
        <v>1.0644376814161083E-2</v>
      </c>
      <c r="Y26">
        <f t="shared" si="34"/>
        <v>5.1891393931874585E-2</v>
      </c>
    </row>
    <row r="27" spans="1:25" x14ac:dyDescent="0.35">
      <c r="A27" s="2">
        <v>96</v>
      </c>
      <c r="B27" s="1">
        <f t="shared" si="12"/>
        <v>64.038056183169658</v>
      </c>
      <c r="C27" s="1">
        <f t="shared" si="13"/>
        <v>47.327111689707472</v>
      </c>
      <c r="D27">
        <f t="shared" si="24"/>
        <v>1.0882779741413273E-2</v>
      </c>
      <c r="E27">
        <f t="shared" si="25"/>
        <v>1.4753656032032048E-2</v>
      </c>
      <c r="F27" s="1">
        <f t="shared" si="14"/>
        <v>64.168086154136134</v>
      </c>
      <c r="G27" s="1">
        <f t="shared" si="15"/>
        <v>47.306386907921073</v>
      </c>
      <c r="H27">
        <f t="shared" si="26"/>
        <v>1.0860607595142957E-2</v>
      </c>
      <c r="I27">
        <f t="shared" si="27"/>
        <v>1.4760167031580229E-2</v>
      </c>
      <c r="J27" s="1">
        <f t="shared" si="16"/>
        <v>-57.520000155938817</v>
      </c>
      <c r="K27" s="1">
        <f t="shared" si="17"/>
        <v>18.602975913639789</v>
      </c>
      <c r="L27">
        <f t="shared" si="28"/>
        <v>-1.1978225045387147E-2</v>
      </c>
      <c r="M27">
        <f t="shared" ref="M27:M30" si="35">(J17/J$13)^(1/($A17-$A$13))-1</f>
        <v>3.7962872728695585E-2</v>
      </c>
      <c r="N27" s="1">
        <f t="shared" si="18"/>
        <v>63.088332053273859</v>
      </c>
      <c r="O27" s="1">
        <f t="shared" si="19"/>
        <v>46.9908656039376</v>
      </c>
      <c r="P27">
        <f t="shared" si="29"/>
        <v>1.1047509449411352E-2</v>
      </c>
      <c r="Q27">
        <f t="shared" si="30"/>
        <v>1.4860007290746324E-2</v>
      </c>
      <c r="R27" s="1">
        <f t="shared" si="20"/>
        <v>144.41292889193187</v>
      </c>
      <c r="S27" s="1">
        <f t="shared" si="21"/>
        <v>18.376938520274983</v>
      </c>
      <c r="T27">
        <f t="shared" si="31"/>
        <v>4.8112957754904428E-3</v>
      </c>
      <c r="U27">
        <f t="shared" si="32"/>
        <v>3.8438680473784848E-2</v>
      </c>
      <c r="V27" s="1">
        <f t="shared" si="22"/>
        <v>237.44171408820938</v>
      </c>
      <c r="W27" s="1">
        <f t="shared" si="23"/>
        <v>18.396078470975439</v>
      </c>
      <c r="X27">
        <f t="shared" si="33"/>
        <v>2.9234959693411611E-3</v>
      </c>
      <c r="Y27">
        <f t="shared" si="34"/>
        <v>3.8397929293195521E-2</v>
      </c>
    </row>
    <row r="28" spans="1:25" x14ac:dyDescent="0.35">
      <c r="A28" s="2">
        <v>120</v>
      </c>
      <c r="B28" s="1">
        <f t="shared" si="12"/>
        <v>20733.759955654034</v>
      </c>
      <c r="C28" s="1">
        <f t="shared" si="13"/>
        <v>59.125149680633839</v>
      </c>
      <c r="D28">
        <f t="shared" si="24"/>
        <v>3.3431406962325383E-5</v>
      </c>
      <c r="E28">
        <f t="shared" si="25"/>
        <v>1.179237812895173E-2</v>
      </c>
      <c r="F28" s="1">
        <f t="shared" si="14"/>
        <v>21404.78529261435</v>
      </c>
      <c r="G28" s="1">
        <f t="shared" si="15"/>
        <v>59.100329452515872</v>
      </c>
      <c r="H28">
        <f t="shared" si="26"/>
        <v>3.238333831578899E-5</v>
      </c>
      <c r="I28">
        <f t="shared" si="27"/>
        <v>1.1797359645155714E-2</v>
      </c>
      <c r="J28" s="1">
        <f t="shared" si="16"/>
        <v>-672.42510714423281</v>
      </c>
      <c r="K28" s="1">
        <f t="shared" si="17"/>
        <v>23.415671448936216</v>
      </c>
      <c r="L28">
        <f t="shared" si="28"/>
        <v>-1.0302858147321903E-3</v>
      </c>
      <c r="M28">
        <f t="shared" si="35"/>
        <v>3.0044339559601063E-2</v>
      </c>
      <c r="N28" s="1">
        <f t="shared" si="18"/>
        <v>2614.2112548594132</v>
      </c>
      <c r="O28" s="1">
        <f t="shared" si="19"/>
        <v>58.475804021434094</v>
      </c>
      <c r="P28">
        <f t="shared" si="29"/>
        <v>2.6518097186345457E-4</v>
      </c>
      <c r="Q28">
        <f t="shared" si="30"/>
        <v>1.1924104467450514E-2</v>
      </c>
      <c r="R28" s="1">
        <f t="shared" si="20"/>
        <v>32479.363849871133</v>
      </c>
      <c r="S28" s="1">
        <f t="shared" si="21"/>
        <v>22.967924317214891</v>
      </c>
      <c r="T28">
        <f t="shared" si="31"/>
        <v>2.1341384027540045E-5</v>
      </c>
      <c r="U28">
        <f t="shared" si="32"/>
        <v>3.0638920720655216E-2</v>
      </c>
      <c r="V28" s="1">
        <f t="shared" si="22"/>
        <v>-10317.530028865272</v>
      </c>
      <c r="W28" s="1">
        <f t="shared" si="23"/>
        <v>23.005352681436651</v>
      </c>
      <c r="X28">
        <f t="shared" si="33"/>
        <v>-6.7179246952209226E-5</v>
      </c>
      <c r="Y28">
        <f t="shared" si="34"/>
        <v>3.0588318271016046E-2</v>
      </c>
    </row>
    <row r="29" spans="1:25" x14ac:dyDescent="0.35">
      <c r="A29" s="2">
        <v>168</v>
      </c>
      <c r="B29" s="1">
        <f t="shared" si="12"/>
        <v>9021.6240940839907</v>
      </c>
      <c r="C29" s="1">
        <f t="shared" si="13"/>
        <v>82.558782872109788</v>
      </c>
      <c r="D29">
        <f t="shared" si="24"/>
        <v>7.6834703138795035E-5</v>
      </c>
      <c r="E29">
        <f t="shared" si="25"/>
        <v>8.4311454204550884E-3</v>
      </c>
      <c r="F29" s="1">
        <f t="shared" si="14"/>
        <v>6466.0070263139123</v>
      </c>
      <c r="G29" s="1">
        <f t="shared" si="15"/>
        <v>82.439058806004752</v>
      </c>
      <c r="H29">
        <f t="shared" si="26"/>
        <v>1.0720438924449738E-4</v>
      </c>
      <c r="I29">
        <f t="shared" si="27"/>
        <v>8.4434412974692119E-3</v>
      </c>
      <c r="J29" s="1">
        <f t="shared" si="16"/>
        <v>28.686812966925203</v>
      </c>
      <c r="K29" s="1">
        <f t="shared" si="17"/>
        <v>24.71309402739681</v>
      </c>
      <c r="L29">
        <f t="shared" si="28"/>
        <v>2.4456852238317506E-2</v>
      </c>
      <c r="M29">
        <f t="shared" si="35"/>
        <v>2.8444812193636482E-2</v>
      </c>
      <c r="N29" s="1">
        <f t="shared" si="18"/>
        <v>2568.3271468093567</v>
      </c>
      <c r="O29" s="1">
        <f t="shared" si="19"/>
        <v>81.127281589070407</v>
      </c>
      <c r="P29">
        <f t="shared" si="29"/>
        <v>2.6991916667151727E-4</v>
      </c>
      <c r="Q29">
        <f t="shared" si="30"/>
        <v>8.5805505185934106E-3</v>
      </c>
      <c r="R29" s="1">
        <f t="shared" si="20"/>
        <v>-13468.810659750981</v>
      </c>
      <c r="S29" s="1">
        <f t="shared" si="21"/>
        <v>32.177042229114051</v>
      </c>
      <c r="T29">
        <f t="shared" si="31"/>
        <v>-5.1461807773045543E-5</v>
      </c>
      <c r="U29">
        <f t="shared" si="32"/>
        <v>2.1775365409892666E-2</v>
      </c>
      <c r="V29" s="1">
        <f t="shared" si="22"/>
        <v>191.55162264100264</v>
      </c>
      <c r="W29" s="1">
        <f t="shared" si="23"/>
        <v>30.731168251385458</v>
      </c>
      <c r="X29">
        <f t="shared" si="33"/>
        <v>3.6251470674029118E-3</v>
      </c>
      <c r="Y29">
        <f t="shared" si="34"/>
        <v>2.2811476304737788E-2</v>
      </c>
    </row>
    <row r="30" spans="1:25" x14ac:dyDescent="0.35">
      <c r="A30" s="2">
        <v>264</v>
      </c>
      <c r="B30" s="1">
        <f t="shared" si="12"/>
        <v>-485.68640931020542</v>
      </c>
      <c r="C30" s="1">
        <f t="shared" si="13"/>
        <v>143.69260358282042</v>
      </c>
      <c r="D30">
        <f t="shared" si="24"/>
        <v>-1.4261317387551653E-3</v>
      </c>
      <c r="E30">
        <f t="shared" si="25"/>
        <v>4.8354728293893423E-3</v>
      </c>
      <c r="F30" s="1">
        <f t="shared" si="14"/>
        <v>-479.41240002835468</v>
      </c>
      <c r="G30" s="1">
        <f t="shared" si="15"/>
        <v>143.6637871653063</v>
      </c>
      <c r="H30">
        <f t="shared" si="26"/>
        <v>-1.4447818550885616E-3</v>
      </c>
      <c r="I30">
        <f t="shared" si="27"/>
        <v>4.8364450814952775E-3</v>
      </c>
      <c r="J30" s="1">
        <f t="shared" si="16"/>
        <v>-59.160203513443854</v>
      </c>
      <c r="K30" s="1">
        <f t="shared" si="17"/>
        <v>51.011504207251818</v>
      </c>
      <c r="L30">
        <f t="shared" si="28"/>
        <v>-1.1648073232447431E-2</v>
      </c>
      <c r="M30">
        <f t="shared" si="35"/>
        <v>1.3680793290619997E-2</v>
      </c>
      <c r="N30" s="1">
        <f t="shared" si="18"/>
        <v>-1043.4898145835111</v>
      </c>
      <c r="O30" s="1">
        <f t="shared" si="19"/>
        <v>133.41277104275417</v>
      </c>
      <c r="P30">
        <f t="shared" si="29"/>
        <v>-6.6403812219473224E-4</v>
      </c>
      <c r="Q30">
        <f t="shared" si="30"/>
        <v>5.2090285179762219E-3</v>
      </c>
      <c r="R30" s="1">
        <f t="shared" si="20"/>
        <v>1840.3345603345394</v>
      </c>
      <c r="S30" s="1">
        <f t="shared" si="21"/>
        <v>50.063734051493142</v>
      </c>
      <c r="T30">
        <f t="shared" si="31"/>
        <v>3.7671287930018948E-4</v>
      </c>
      <c r="U30">
        <f t="shared" si="32"/>
        <v>1.3941585251113775E-2</v>
      </c>
      <c r="V30" s="1">
        <f t="shared" si="22"/>
        <v>-391.60814111373924</v>
      </c>
      <c r="W30" s="1">
        <f t="shared" si="23"/>
        <v>50.559026315019224</v>
      </c>
      <c r="X30">
        <f t="shared" si="33"/>
        <v>-1.7684364385810447E-3</v>
      </c>
      <c r="Y30">
        <f t="shared" si="34"/>
        <v>1.3804070733895335E-2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7" s="3" customFormat="1" x14ac:dyDescent="0.35">
      <c r="A33" s="4">
        <v>0</v>
      </c>
      <c r="B33" s="5">
        <f>F13/V13</f>
        <v>1178.2470402525651</v>
      </c>
      <c r="C33" s="5">
        <f>G13/W13</f>
        <v>362.54055394288667</v>
      </c>
      <c r="D33" s="5">
        <f>F13/(F13+V13)*100</f>
        <v>99.915200126363189</v>
      </c>
      <c r="E33" s="5">
        <f>V13/(F13+V13)*100</f>
        <v>8.4799873636810241E-2</v>
      </c>
    </row>
    <row r="34" spans="1:7" s="3" customFormat="1" x14ac:dyDescent="0.35">
      <c r="A34" s="4">
        <v>24</v>
      </c>
      <c r="B34" s="5">
        <f t="shared" ref="B34:C40" si="36">F14/V14</f>
        <v>178.2059313348706</v>
      </c>
      <c r="C34" s="5">
        <f t="shared" si="36"/>
        <v>269.55031557441845</v>
      </c>
      <c r="D34" s="5">
        <f>F14/(F14+V14)*100</f>
        <v>99.44198275550859</v>
      </c>
      <c r="E34" s="5">
        <f>V14/(F14+V14)*100</f>
        <v>0.55801724449140266</v>
      </c>
    </row>
    <row r="35" spans="1:7" s="3" customFormat="1" x14ac:dyDescent="0.35">
      <c r="A35" s="4">
        <v>46</v>
      </c>
      <c r="B35" s="5">
        <f t="shared" si="36"/>
        <v>117.76110160995459</v>
      </c>
      <c r="C35" s="5">
        <f t="shared" si="36"/>
        <v>42.472321309437753</v>
      </c>
      <c r="D35" s="5">
        <f>F15/(F15+V15)*100</f>
        <v>99.1579734555812</v>
      </c>
      <c r="E35" s="5">
        <f>V15/(F15+V15)*100</f>
        <v>0.84202654441879954</v>
      </c>
    </row>
    <row r="36" spans="1:7" s="3" customFormat="1" x14ac:dyDescent="0.35">
      <c r="A36" s="4">
        <v>70</v>
      </c>
      <c r="B36" s="5">
        <f t="shared" si="36"/>
        <v>105.24164112884783</v>
      </c>
      <c r="C36" s="5">
        <f t="shared" si="36"/>
        <v>88.304990933121061</v>
      </c>
      <c r="D36" s="5">
        <f>F16/(F16+V16)*100</f>
        <v>99.058749479606377</v>
      </c>
      <c r="E36" s="5">
        <f>V16/(F16+V16)*100</f>
        <v>0.9412505203936179</v>
      </c>
    </row>
    <row r="37" spans="1:7" s="3" customFormat="1" x14ac:dyDescent="0.35">
      <c r="A37" s="4">
        <v>96</v>
      </c>
      <c r="B37" s="5">
        <f t="shared" si="36"/>
        <v>129.18073515071862</v>
      </c>
      <c r="C37" s="5">
        <f t="shared" si="36"/>
        <v>67.669074850110803</v>
      </c>
      <c r="D37" s="5">
        <f>F17/(F17+V17)*100</f>
        <v>99.231837184786031</v>
      </c>
      <c r="E37" s="5">
        <f>V17/(F17+V17)*100</f>
        <v>0.76816281521396823</v>
      </c>
    </row>
    <row r="38" spans="1:7" s="3" customFormat="1" x14ac:dyDescent="0.35">
      <c r="A38" s="4">
        <v>120</v>
      </c>
      <c r="B38" s="5">
        <f t="shared" si="36"/>
        <v>129.48978725211262</v>
      </c>
      <c r="C38" s="5">
        <f t="shared" si="36"/>
        <v>51.907645695420221</v>
      </c>
      <c r="D38" s="5">
        <f>F18/(F18+V18)*100</f>
        <v>99.233656502123068</v>
      </c>
      <c r="E38" s="5">
        <f>V18/(F18+V18)*100</f>
        <v>0.76634349787692679</v>
      </c>
    </row>
    <row r="39" spans="1:7" s="3" customFormat="1" x14ac:dyDescent="0.35">
      <c r="A39" s="4">
        <v>168</v>
      </c>
      <c r="B39" s="5">
        <f t="shared" si="36"/>
        <v>109.40484009137636</v>
      </c>
      <c r="C39" s="5">
        <f t="shared" si="36"/>
        <v>42.03867686752762</v>
      </c>
      <c r="D39" s="5">
        <f>F19/(F19+V19)*100</f>
        <v>99.094242608229536</v>
      </c>
      <c r="E39" s="5">
        <f>V19/(F19+V19)*100</f>
        <v>0.90575739177046222</v>
      </c>
    </row>
    <row r="40" spans="1:7" s="3" customFormat="1" x14ac:dyDescent="0.35">
      <c r="A40" s="4">
        <v>264</v>
      </c>
      <c r="B40" s="5">
        <f t="shared" si="36"/>
        <v>112.86314409002453</v>
      </c>
      <c r="C40" s="5">
        <f>G20/W20</f>
        <v>54.139148879794803</v>
      </c>
      <c r="D40" s="5">
        <f>F20/(F20+V20)*100</f>
        <v>99.121752690045724</v>
      </c>
      <c r="E40" s="5">
        <f>V20/(F20+V20)*100</f>
        <v>0.87824730995427447</v>
      </c>
    </row>
    <row r="41" spans="1:7" s="3" customFormat="1" x14ac:dyDescent="0.35"/>
    <row r="42" spans="1:7" s="3" customFormat="1" ht="43.5" x14ac:dyDescent="0.35">
      <c r="A42" s="3" t="s">
        <v>0</v>
      </c>
      <c r="B42" s="3" t="s">
        <v>56</v>
      </c>
      <c r="C42" s="3" t="s">
        <v>57</v>
      </c>
      <c r="D42" s="3" t="s">
        <v>58</v>
      </c>
      <c r="E42" s="3" t="s">
        <v>59</v>
      </c>
      <c r="F42" s="3" t="s">
        <v>60</v>
      </c>
      <c r="G42" s="3" t="s">
        <v>47</v>
      </c>
    </row>
    <row r="43" spans="1:7" s="3" customFormat="1" x14ac:dyDescent="0.35">
      <c r="A43" s="4">
        <v>0</v>
      </c>
      <c r="B43" s="5">
        <f>F2/V2</f>
        <v>981.08730158730157</v>
      </c>
      <c r="C43" s="5">
        <f t="shared" ref="C43:E50" si="37">G2/W2</f>
        <v>1427.7593984962407</v>
      </c>
      <c r="D43" s="5">
        <f t="shared" si="37"/>
        <v>994.59598853868192</v>
      </c>
      <c r="E43" s="5">
        <f>I2/Y2</f>
        <v>1441.9343065693431</v>
      </c>
      <c r="F43" s="5">
        <f>AVERAGE(B43:E43)</f>
        <v>1211.3442487978919</v>
      </c>
      <c r="G43" s="5">
        <f>_xlfn.STDEV.S(B43:E43)</f>
        <v>258.2023507678515</v>
      </c>
    </row>
    <row r="44" spans="1:7" s="3" customFormat="1" x14ac:dyDescent="0.35">
      <c r="A44" s="4">
        <v>24</v>
      </c>
      <c r="B44" s="5">
        <f t="shared" ref="B44:B50" si="38">F3/V3</f>
        <v>173.83172256964184</v>
      </c>
      <c r="C44" s="5">
        <f t="shared" si="37"/>
        <v>185.95970873786408</v>
      </c>
      <c r="D44" s="5">
        <f t="shared" si="37"/>
        <v>168.25870010235414</v>
      </c>
      <c r="E44" s="5">
        <f t="shared" si="37"/>
        <v>183.6945400885391</v>
      </c>
      <c r="F44" s="5">
        <f t="shared" ref="F44:F50" si="39">AVERAGE(B44:E44)</f>
        <v>177.93616787459979</v>
      </c>
      <c r="G44" s="5">
        <f t="shared" ref="G44:G50" si="40">_xlfn.STDEV.S(B44:E44)</f>
        <v>8.3273827877868225</v>
      </c>
    </row>
    <row r="45" spans="1:7" s="3" customFormat="1" x14ac:dyDescent="0.35">
      <c r="A45" s="4">
        <v>46</v>
      </c>
      <c r="B45" s="5">
        <f t="shared" si="38"/>
        <v>105.95246179966044</v>
      </c>
      <c r="C45" s="5">
        <f t="shared" si="37"/>
        <v>128.0320125951194</v>
      </c>
      <c r="D45" s="5">
        <f t="shared" si="37"/>
        <v>123.83800475059383</v>
      </c>
      <c r="E45" s="5">
        <f t="shared" si="37"/>
        <v>115.61055871212122</v>
      </c>
      <c r="F45" s="5">
        <f t="shared" si="39"/>
        <v>118.35825946437373</v>
      </c>
      <c r="G45" s="5">
        <f t="shared" si="40"/>
        <v>9.747867855043955</v>
      </c>
    </row>
    <row r="46" spans="1:7" s="3" customFormat="1" x14ac:dyDescent="0.35">
      <c r="A46" s="4">
        <v>70</v>
      </c>
      <c r="B46" s="5">
        <f t="shared" si="38"/>
        <v>106.35031432907002</v>
      </c>
      <c r="C46" s="5">
        <f t="shared" si="37"/>
        <v>115.01398601398601</v>
      </c>
      <c r="D46" s="5">
        <f t="shared" si="37"/>
        <v>94.906137184115522</v>
      </c>
      <c r="E46" s="5">
        <f t="shared" si="37"/>
        <v>106.88719415316174</v>
      </c>
      <c r="F46" s="5">
        <f t="shared" si="39"/>
        <v>105.78940792008333</v>
      </c>
      <c r="G46" s="5">
        <f t="shared" si="40"/>
        <v>8.2675706535850342</v>
      </c>
    </row>
    <row r="47" spans="1:7" s="3" customFormat="1" x14ac:dyDescent="0.35">
      <c r="A47" s="4">
        <v>96</v>
      </c>
      <c r="B47" s="5">
        <f t="shared" si="38"/>
        <v>123.89150546677881</v>
      </c>
      <c r="C47" s="5">
        <f t="shared" si="37"/>
        <v>143.44399839421919</v>
      </c>
      <c r="D47" s="5">
        <f t="shared" si="37"/>
        <v>126.2792</v>
      </c>
      <c r="E47" s="5">
        <f t="shared" si="37"/>
        <v>125.82964118564743</v>
      </c>
      <c r="F47" s="5">
        <f t="shared" si="39"/>
        <v>129.86108626166137</v>
      </c>
      <c r="G47" s="5">
        <f t="shared" si="40"/>
        <v>9.1143450205305978</v>
      </c>
    </row>
    <row r="48" spans="1:7" s="3" customFormat="1" x14ac:dyDescent="0.35">
      <c r="A48" s="4">
        <v>120</v>
      </c>
      <c r="B48" s="5">
        <f t="shared" si="38"/>
        <v>154.89404812157028</v>
      </c>
      <c r="C48" s="5">
        <f t="shared" si="37"/>
        <v>123.25085910652921</v>
      </c>
      <c r="D48" s="5">
        <f t="shared" si="37"/>
        <v>125.93996247654785</v>
      </c>
      <c r="E48" s="5">
        <f t="shared" si="37"/>
        <v>120.18726307808946</v>
      </c>
      <c r="F48" s="5">
        <f t="shared" si="39"/>
        <v>131.06803319568419</v>
      </c>
      <c r="G48" s="5">
        <f t="shared" si="40"/>
        <v>16.056934801315851</v>
      </c>
    </row>
    <row r="49" spans="1:7" s="3" customFormat="1" x14ac:dyDescent="0.35">
      <c r="A49" s="4">
        <v>168</v>
      </c>
      <c r="B49" s="5">
        <f t="shared" si="38"/>
        <v>123.65638766519824</v>
      </c>
      <c r="C49" s="5">
        <f t="shared" si="37"/>
        <v>109.63527653213752</v>
      </c>
      <c r="D49" s="5">
        <f t="shared" si="37"/>
        <v>98.378980891719749</v>
      </c>
      <c r="E49" s="5">
        <f t="shared" si="37"/>
        <v>110.00550964187327</v>
      </c>
      <c r="F49" s="5">
        <f t="shared" si="39"/>
        <v>110.41903868273219</v>
      </c>
      <c r="G49" s="5">
        <f t="shared" si="40"/>
        <v>10.343688721000401</v>
      </c>
    </row>
    <row r="50" spans="1:7" s="3" customFormat="1" x14ac:dyDescent="0.35">
      <c r="A50" s="4">
        <v>264</v>
      </c>
      <c r="B50" s="5">
        <f t="shared" si="38"/>
        <v>103.13551536032156</v>
      </c>
      <c r="C50" s="5">
        <f t="shared" si="37"/>
        <v>125.83102493074792</v>
      </c>
      <c r="D50" s="5">
        <f t="shared" si="37"/>
        <v>107.47029372496662</v>
      </c>
      <c r="E50" s="5">
        <f t="shared" si="37"/>
        <v>118.53371320037986</v>
      </c>
      <c r="F50" s="5">
        <f t="shared" si="39"/>
        <v>113.74263680410398</v>
      </c>
      <c r="G50" s="5">
        <f t="shared" si="40"/>
        <v>10.343062949966177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6132-D345-4F9C-9C50-8C58DB97B860}">
  <dimension ref="A1:Y50"/>
  <sheetViews>
    <sheetView topLeftCell="A40" workbookViewId="0">
      <selection activeCell="F43" sqref="F43:G50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5</v>
      </c>
      <c r="S1" t="s">
        <v>5</v>
      </c>
      <c r="T1" t="s">
        <v>5</v>
      </c>
      <c r="U1" t="s">
        <v>5</v>
      </c>
      <c r="V1" t="s">
        <v>6</v>
      </c>
      <c r="W1" t="s">
        <v>6</v>
      </c>
      <c r="X1" t="s">
        <v>6</v>
      </c>
      <c r="Y1" t="s">
        <v>6</v>
      </c>
    </row>
    <row r="2" spans="1:25" x14ac:dyDescent="0.35">
      <c r="A2">
        <v>0</v>
      </c>
      <c r="B2">
        <v>733318</v>
      </c>
      <c r="C2">
        <v>805108</v>
      </c>
      <c r="D2">
        <v>708104</v>
      </c>
      <c r="E2">
        <v>767860</v>
      </c>
      <c r="F2">
        <v>733548</v>
      </c>
      <c r="G2">
        <v>805236</v>
      </c>
      <c r="H2">
        <v>708358</v>
      </c>
      <c r="I2">
        <v>767908</v>
      </c>
      <c r="J2">
        <v>230</v>
      </c>
      <c r="K2">
        <v>128</v>
      </c>
      <c r="L2">
        <v>254</v>
      </c>
      <c r="M2">
        <v>52</v>
      </c>
      <c r="N2">
        <v>741544</v>
      </c>
      <c r="O2">
        <v>821028</v>
      </c>
      <c r="P2">
        <v>717376</v>
      </c>
      <c r="Q2">
        <v>794520</v>
      </c>
      <c r="R2">
        <v>1644</v>
      </c>
      <c r="S2">
        <v>1324</v>
      </c>
      <c r="T2">
        <v>1818</v>
      </c>
      <c r="U2">
        <v>1264</v>
      </c>
      <c r="V2">
        <v>1874</v>
      </c>
      <c r="W2">
        <v>1452</v>
      </c>
      <c r="X2">
        <v>2072</v>
      </c>
      <c r="Y2">
        <v>1316</v>
      </c>
    </row>
    <row r="3" spans="1:25" x14ac:dyDescent="0.35">
      <c r="A3">
        <v>24</v>
      </c>
      <c r="B3">
        <v>1224300</v>
      </c>
      <c r="C3">
        <v>1495808</v>
      </c>
      <c r="D3">
        <v>1301136</v>
      </c>
      <c r="E3">
        <v>1564924</v>
      </c>
      <c r="F3">
        <v>1226062</v>
      </c>
      <c r="G3">
        <v>1496840</v>
      </c>
      <c r="H3">
        <v>1303108</v>
      </c>
      <c r="I3">
        <v>1565936</v>
      </c>
      <c r="J3">
        <v>1764</v>
      </c>
      <c r="K3">
        <v>1032</v>
      </c>
      <c r="L3">
        <v>1974</v>
      </c>
      <c r="M3">
        <v>1012</v>
      </c>
      <c r="N3">
        <v>1239762</v>
      </c>
      <c r="O3">
        <v>1518564</v>
      </c>
      <c r="P3">
        <v>1316220</v>
      </c>
      <c r="Q3">
        <v>1586072</v>
      </c>
      <c r="R3">
        <v>6588</v>
      </c>
      <c r="S3">
        <v>7412</v>
      </c>
      <c r="T3">
        <v>6846</v>
      </c>
      <c r="U3">
        <v>6696</v>
      </c>
      <c r="V3">
        <v>8352</v>
      </c>
      <c r="W3">
        <v>8444</v>
      </c>
      <c r="X3">
        <v>8816</v>
      </c>
      <c r="Y3">
        <v>7708</v>
      </c>
    </row>
    <row r="4" spans="1:25" x14ac:dyDescent="0.35">
      <c r="A4">
        <v>46</v>
      </c>
      <c r="B4">
        <v>2007544</v>
      </c>
      <c r="C4">
        <v>1693256</v>
      </c>
      <c r="D4">
        <v>2106896</v>
      </c>
      <c r="E4">
        <v>2023260</v>
      </c>
      <c r="F4">
        <v>2009088</v>
      </c>
      <c r="G4">
        <v>1695232</v>
      </c>
      <c r="H4">
        <v>2108408</v>
      </c>
      <c r="I4">
        <v>2026208</v>
      </c>
      <c r="J4">
        <v>1544</v>
      </c>
      <c r="K4">
        <v>1980</v>
      </c>
      <c r="L4">
        <v>1520</v>
      </c>
      <c r="M4">
        <v>2956</v>
      </c>
      <c r="N4">
        <v>2057872</v>
      </c>
      <c r="O4">
        <v>1712216</v>
      </c>
      <c r="P4">
        <v>2142528</v>
      </c>
      <c r="Q4">
        <v>2049148</v>
      </c>
      <c r="R4">
        <v>16400</v>
      </c>
      <c r="S4">
        <v>10508</v>
      </c>
      <c r="T4">
        <v>15624</v>
      </c>
      <c r="U4">
        <v>14012</v>
      </c>
      <c r="V4">
        <v>17944</v>
      </c>
      <c r="W4">
        <v>12488</v>
      </c>
      <c r="X4">
        <v>17144</v>
      </c>
      <c r="Y4">
        <v>16968</v>
      </c>
    </row>
    <row r="5" spans="1:25" x14ac:dyDescent="0.35">
      <c r="A5">
        <v>70</v>
      </c>
      <c r="B5">
        <v>2109348</v>
      </c>
      <c r="C5">
        <v>2415608</v>
      </c>
      <c r="D5">
        <v>2467724</v>
      </c>
      <c r="E5">
        <v>2714352</v>
      </c>
      <c r="F5">
        <v>2112796</v>
      </c>
      <c r="G5">
        <v>2417560</v>
      </c>
      <c r="H5">
        <v>2472948</v>
      </c>
      <c r="I5">
        <v>2717160</v>
      </c>
      <c r="J5">
        <v>1952</v>
      </c>
      <c r="K5">
        <v>3448</v>
      </c>
      <c r="L5">
        <v>2808</v>
      </c>
      <c r="M5">
        <v>5240</v>
      </c>
      <c r="N5">
        <v>2150388</v>
      </c>
      <c r="O5">
        <v>2479808</v>
      </c>
      <c r="P5">
        <v>2510728</v>
      </c>
      <c r="Q5">
        <v>2778664</v>
      </c>
      <c r="R5">
        <v>16256</v>
      </c>
      <c r="S5">
        <v>19008</v>
      </c>
      <c r="T5">
        <v>19464</v>
      </c>
      <c r="U5">
        <v>19744</v>
      </c>
      <c r="V5">
        <v>19704</v>
      </c>
      <c r="W5">
        <v>20952</v>
      </c>
      <c r="X5">
        <v>22544</v>
      </c>
      <c r="Y5">
        <v>24704</v>
      </c>
    </row>
    <row r="6" spans="1:25" x14ac:dyDescent="0.35">
      <c r="A6">
        <v>96</v>
      </c>
      <c r="B6">
        <v>2825020</v>
      </c>
      <c r="C6">
        <v>2755424</v>
      </c>
      <c r="D6">
        <v>3214760</v>
      </c>
      <c r="E6">
        <v>3213968</v>
      </c>
      <c r="F6">
        <v>2826140</v>
      </c>
      <c r="G6">
        <v>2758328</v>
      </c>
      <c r="H6">
        <v>3216320</v>
      </c>
      <c r="I6">
        <v>3217600</v>
      </c>
      <c r="J6">
        <v>1120</v>
      </c>
      <c r="K6">
        <v>2904</v>
      </c>
      <c r="L6">
        <v>1560</v>
      </c>
      <c r="M6">
        <v>3648</v>
      </c>
      <c r="N6">
        <v>2937520</v>
      </c>
      <c r="O6">
        <v>2805448</v>
      </c>
      <c r="P6">
        <v>3391900</v>
      </c>
      <c r="Q6">
        <v>3268408</v>
      </c>
      <c r="R6">
        <v>22780</v>
      </c>
      <c r="S6">
        <v>20240</v>
      </c>
      <c r="T6">
        <v>28900</v>
      </c>
      <c r="U6">
        <v>22808</v>
      </c>
      <c r="V6">
        <v>23900</v>
      </c>
      <c r="W6">
        <v>23136</v>
      </c>
      <c r="X6">
        <v>30460</v>
      </c>
      <c r="Y6">
        <v>26456</v>
      </c>
    </row>
    <row r="7" spans="1:25" x14ac:dyDescent="0.35">
      <c r="A7">
        <v>120</v>
      </c>
      <c r="B7">
        <v>2723672</v>
      </c>
      <c r="C7">
        <v>2890680</v>
      </c>
      <c r="D7">
        <v>3239968</v>
      </c>
      <c r="E7">
        <v>3242480</v>
      </c>
      <c r="F7">
        <v>2726504</v>
      </c>
      <c r="G7">
        <v>2892020</v>
      </c>
      <c r="H7">
        <v>3243904</v>
      </c>
      <c r="I7">
        <v>3243880</v>
      </c>
      <c r="J7">
        <v>2832</v>
      </c>
      <c r="K7">
        <v>1340</v>
      </c>
      <c r="L7">
        <v>3936</v>
      </c>
      <c r="M7">
        <v>1400</v>
      </c>
      <c r="N7">
        <v>2787072</v>
      </c>
      <c r="O7">
        <v>2995280</v>
      </c>
      <c r="P7">
        <v>3304624</v>
      </c>
      <c r="Q7">
        <v>3350680</v>
      </c>
      <c r="R7">
        <v>19328</v>
      </c>
      <c r="S7">
        <v>23200</v>
      </c>
      <c r="T7">
        <v>23520</v>
      </c>
      <c r="U7">
        <v>23980</v>
      </c>
      <c r="V7">
        <v>22152</v>
      </c>
      <c r="W7">
        <v>24540</v>
      </c>
      <c r="X7">
        <v>27456</v>
      </c>
      <c r="Y7">
        <v>25360</v>
      </c>
    </row>
    <row r="8" spans="1:25" x14ac:dyDescent="0.35">
      <c r="A8">
        <v>168</v>
      </c>
      <c r="B8">
        <v>2836080</v>
      </c>
      <c r="C8">
        <v>2858820</v>
      </c>
      <c r="D8">
        <v>3136872</v>
      </c>
      <c r="E8">
        <v>3121700</v>
      </c>
      <c r="F8">
        <v>2842944</v>
      </c>
      <c r="G8">
        <v>2864680</v>
      </c>
      <c r="H8">
        <v>3144504</v>
      </c>
      <c r="I8">
        <v>3127340</v>
      </c>
      <c r="J8">
        <v>6936</v>
      </c>
      <c r="K8">
        <v>5900</v>
      </c>
      <c r="L8">
        <v>7760</v>
      </c>
      <c r="M8">
        <v>5800</v>
      </c>
      <c r="N8">
        <v>2933416</v>
      </c>
      <c r="O8">
        <v>2987980</v>
      </c>
      <c r="P8">
        <v>3240040</v>
      </c>
      <c r="Q8">
        <v>3270060</v>
      </c>
      <c r="R8">
        <v>21128</v>
      </c>
      <c r="S8">
        <v>22320</v>
      </c>
      <c r="T8">
        <v>26320</v>
      </c>
      <c r="U8">
        <v>27080</v>
      </c>
      <c r="V8">
        <v>28064</v>
      </c>
      <c r="W8">
        <v>28200</v>
      </c>
      <c r="X8">
        <v>34072</v>
      </c>
      <c r="Y8">
        <v>32880</v>
      </c>
    </row>
    <row r="9" spans="1:25" x14ac:dyDescent="0.35">
      <c r="A9">
        <v>264</v>
      </c>
      <c r="B9">
        <v>2762560</v>
      </c>
      <c r="C9">
        <v>2184500</v>
      </c>
      <c r="D9">
        <v>2893240</v>
      </c>
      <c r="E9">
        <v>2985740</v>
      </c>
      <c r="F9">
        <v>2765168</v>
      </c>
      <c r="G9">
        <v>2184800</v>
      </c>
      <c r="H9">
        <v>2894608</v>
      </c>
      <c r="I9">
        <v>2984840</v>
      </c>
      <c r="J9">
        <v>3312</v>
      </c>
      <c r="K9">
        <v>900</v>
      </c>
      <c r="L9">
        <v>3256</v>
      </c>
      <c r="M9">
        <v>1080</v>
      </c>
      <c r="N9">
        <v>2981216</v>
      </c>
      <c r="O9">
        <v>2397980</v>
      </c>
      <c r="P9">
        <v>3280576</v>
      </c>
      <c r="Q9">
        <v>3514940</v>
      </c>
      <c r="R9">
        <v>23960</v>
      </c>
      <c r="S9">
        <v>16020</v>
      </c>
      <c r="T9">
        <v>20624</v>
      </c>
      <c r="U9">
        <v>20240</v>
      </c>
      <c r="V9">
        <v>25968</v>
      </c>
      <c r="W9">
        <v>16100</v>
      </c>
      <c r="X9">
        <v>23136</v>
      </c>
      <c r="Y9">
        <v>20460</v>
      </c>
    </row>
    <row r="11" spans="1:25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5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5" x14ac:dyDescent="0.35">
      <c r="A13" s="2">
        <v>0</v>
      </c>
      <c r="B13" s="2">
        <f>AVERAGE(B2:E2)</f>
        <v>753597.5</v>
      </c>
      <c r="C13" s="2">
        <f>_xlfn.STDEV.S(B2:E2)</f>
        <v>42180.829686007834</v>
      </c>
      <c r="F13" s="2">
        <f t="shared" ref="F13:F20" si="0">AVERAGE(F2:I2)</f>
        <v>753762.5</v>
      </c>
      <c r="G13" s="2">
        <f t="shared" ref="G13:G20" si="1">_xlfn.STDEV.S(F2:I2)</f>
        <v>42110.216507794561</v>
      </c>
      <c r="J13" s="2">
        <f t="shared" ref="J13:J20" si="2">AVERAGE(J2:M2)</f>
        <v>166</v>
      </c>
      <c r="K13" s="2">
        <f t="shared" ref="K13:K20" si="3">_xlfn.STDEV.S(J2:M2)</f>
        <v>93.594871654380725</v>
      </c>
      <c r="N13" s="2">
        <f t="shared" ref="N13:N20" si="4">AVERAGE(N2:Q2)</f>
        <v>768617</v>
      </c>
      <c r="O13" s="2">
        <f>_xlfn.STDEV.S(N2:Q2)</f>
        <v>47527.065061218891</v>
      </c>
      <c r="R13" s="2">
        <f>AVERAGE(R2:U2)</f>
        <v>1512.5</v>
      </c>
      <c r="S13" s="2">
        <f>_xlfn.STDEV.S(R2:U2)</f>
        <v>263.25336338465524</v>
      </c>
      <c r="V13" s="2">
        <f>AVERAGE(V2:Y2)</f>
        <v>1678.5</v>
      </c>
      <c r="W13" s="2">
        <f>_xlfn.STDEV.S(V2:Y2)</f>
        <v>353.91665685581967</v>
      </c>
    </row>
    <row r="14" spans="1:25" x14ac:dyDescent="0.35">
      <c r="A14" s="2">
        <v>24</v>
      </c>
      <c r="B14" s="2">
        <f>AVERAGE(B3:E3)</f>
        <v>1396542</v>
      </c>
      <c r="C14" s="2">
        <f t="shared" ref="C14:C20" si="5">_xlfn.STDEV.S(B3:E3)</f>
        <v>160183.07034973038</v>
      </c>
      <c r="F14" s="2">
        <f t="shared" si="0"/>
        <v>1397986.5</v>
      </c>
      <c r="G14" s="2">
        <f t="shared" si="1"/>
        <v>159727.90663604569</v>
      </c>
      <c r="J14" s="2">
        <f t="shared" si="2"/>
        <v>1445.5</v>
      </c>
      <c r="K14" s="2">
        <f t="shared" si="3"/>
        <v>496.54103556503765</v>
      </c>
      <c r="N14" s="2">
        <f t="shared" si="4"/>
        <v>1415154.5</v>
      </c>
      <c r="O14" s="2">
        <f t="shared" ref="O14:O20" si="6">_xlfn.STDEV.S(N3:Q3)</f>
        <v>163764.95437363882</v>
      </c>
      <c r="R14" s="2">
        <f t="shared" ref="R14:R20" si="7">AVERAGE(R3:U3)</f>
        <v>6885.5</v>
      </c>
      <c r="S14" s="2">
        <f t="shared" ref="S14:S20" si="8">_xlfn.STDEV.S(R3:U3)</f>
        <v>366.59650843945582</v>
      </c>
      <c r="V14" s="2">
        <f t="shared" ref="V14:V20" si="9">AVERAGE(V3:Y3)</f>
        <v>8330</v>
      </c>
      <c r="W14" s="2">
        <f t="shared" ref="W14:W20" si="10">_xlfn.STDEV.S(V3:Y3)</f>
        <v>460.63723977406198</v>
      </c>
    </row>
    <row r="15" spans="1:25" x14ac:dyDescent="0.35">
      <c r="A15" s="2">
        <v>46</v>
      </c>
      <c r="B15" s="2">
        <f t="shared" ref="B15:B20" si="11">AVERAGE(B4:E4)</f>
        <v>1957739</v>
      </c>
      <c r="C15" s="2">
        <f t="shared" si="5"/>
        <v>181633.88762746524</v>
      </c>
      <c r="F15" s="2">
        <f t="shared" si="0"/>
        <v>1959734</v>
      </c>
      <c r="G15" s="2">
        <f t="shared" si="1"/>
        <v>181585.49526508627</v>
      </c>
      <c r="J15" s="2">
        <f t="shared" si="2"/>
        <v>2000</v>
      </c>
      <c r="K15" s="2">
        <f t="shared" si="3"/>
        <v>671.48392882232611</v>
      </c>
      <c r="N15" s="2">
        <f t="shared" si="4"/>
        <v>1990441</v>
      </c>
      <c r="O15" s="2">
        <f t="shared" si="6"/>
        <v>190204.32680322145</v>
      </c>
      <c r="R15" s="2">
        <f t="shared" si="7"/>
        <v>14136</v>
      </c>
      <c r="S15" s="2">
        <f t="shared" si="8"/>
        <v>2615.1864178295205</v>
      </c>
      <c r="V15" s="2">
        <f t="shared" si="9"/>
        <v>16136</v>
      </c>
      <c r="W15" s="2">
        <f t="shared" si="10"/>
        <v>2468.80915962872</v>
      </c>
    </row>
    <row r="16" spans="1:25" x14ac:dyDescent="0.35">
      <c r="A16" s="2">
        <v>70</v>
      </c>
      <c r="B16" s="2">
        <f t="shared" si="11"/>
        <v>2426758</v>
      </c>
      <c r="C16" s="2">
        <f t="shared" si="5"/>
        <v>248503.48930615309</v>
      </c>
      <c r="F16" s="2">
        <f t="shared" si="0"/>
        <v>2430116</v>
      </c>
      <c r="G16" s="2">
        <f t="shared" si="1"/>
        <v>248380.40294140222</v>
      </c>
      <c r="J16" s="2">
        <f t="shared" si="2"/>
        <v>3362</v>
      </c>
      <c r="K16" s="2">
        <f t="shared" si="3"/>
        <v>1393.9507404017786</v>
      </c>
      <c r="N16" s="2">
        <f t="shared" si="4"/>
        <v>2479897</v>
      </c>
      <c r="O16" s="2">
        <f t="shared" si="6"/>
        <v>257415.65599369953</v>
      </c>
      <c r="R16" s="2">
        <f t="shared" si="7"/>
        <v>18618</v>
      </c>
      <c r="S16" s="2">
        <f t="shared" si="8"/>
        <v>1603.6142512046551</v>
      </c>
      <c r="V16" s="2">
        <f t="shared" si="9"/>
        <v>21976</v>
      </c>
      <c r="W16" s="2">
        <f t="shared" si="10"/>
        <v>2158.3302187879717</v>
      </c>
    </row>
    <row r="17" spans="1:25" x14ac:dyDescent="0.35">
      <c r="A17" s="2">
        <v>96</v>
      </c>
      <c r="B17" s="2">
        <f t="shared" si="11"/>
        <v>3002293</v>
      </c>
      <c r="C17" s="2">
        <f t="shared" si="5"/>
        <v>246521.5010257726</v>
      </c>
      <c r="F17" s="2">
        <f t="shared" si="0"/>
        <v>3004597</v>
      </c>
      <c r="G17" s="2">
        <f t="shared" si="1"/>
        <v>246774.00453856561</v>
      </c>
      <c r="J17" s="2">
        <f t="shared" si="2"/>
        <v>2308</v>
      </c>
      <c r="K17" s="2">
        <f t="shared" si="3"/>
        <v>1172.1296856576921</v>
      </c>
      <c r="N17" s="2">
        <f t="shared" si="4"/>
        <v>3100819</v>
      </c>
      <c r="O17" s="2">
        <f t="shared" si="6"/>
        <v>274908.96221840422</v>
      </c>
      <c r="R17" s="2">
        <f t="shared" si="7"/>
        <v>23682</v>
      </c>
      <c r="S17" s="2">
        <f t="shared" si="8"/>
        <v>3681.1396785959282</v>
      </c>
      <c r="V17" s="2">
        <f t="shared" si="9"/>
        <v>25988</v>
      </c>
      <c r="W17" s="2">
        <f t="shared" si="10"/>
        <v>3302.0930735923639</v>
      </c>
    </row>
    <row r="18" spans="1:25" x14ac:dyDescent="0.35">
      <c r="A18" s="2">
        <v>120</v>
      </c>
      <c r="B18" s="2">
        <f t="shared" si="11"/>
        <v>3024200</v>
      </c>
      <c r="C18" s="2">
        <f t="shared" si="5"/>
        <v>259709.23318716773</v>
      </c>
      <c r="F18" s="2">
        <f t="shared" si="0"/>
        <v>3026577</v>
      </c>
      <c r="G18" s="2">
        <f t="shared" si="1"/>
        <v>259872.41120467815</v>
      </c>
      <c r="J18" s="2">
        <f t="shared" si="2"/>
        <v>2377</v>
      </c>
      <c r="K18" s="2">
        <f t="shared" si="3"/>
        <v>1247.3176553441922</v>
      </c>
      <c r="N18" s="2">
        <f t="shared" si="4"/>
        <v>3109414</v>
      </c>
      <c r="O18" s="2">
        <f t="shared" si="6"/>
        <v>266612.8040036087</v>
      </c>
      <c r="R18" s="2">
        <f t="shared" si="7"/>
        <v>22507</v>
      </c>
      <c r="S18" s="2">
        <f t="shared" si="8"/>
        <v>2143.3764640554086</v>
      </c>
      <c r="V18" s="2">
        <f t="shared" si="9"/>
        <v>24877</v>
      </c>
      <c r="W18" s="2">
        <f t="shared" si="10"/>
        <v>2192.6942331296445</v>
      </c>
    </row>
    <row r="19" spans="1:25" x14ac:dyDescent="0.35">
      <c r="A19" s="2">
        <v>168</v>
      </c>
      <c r="B19" s="2">
        <f t="shared" si="11"/>
        <v>2988368</v>
      </c>
      <c r="C19" s="2">
        <f t="shared" si="5"/>
        <v>163100.35713020375</v>
      </c>
      <c r="F19" s="2">
        <f t="shared" si="0"/>
        <v>2994867</v>
      </c>
      <c r="G19" s="2">
        <f t="shared" si="1"/>
        <v>163268.26635530454</v>
      </c>
      <c r="J19" s="2">
        <f t="shared" si="2"/>
        <v>6599</v>
      </c>
      <c r="K19" s="2">
        <f t="shared" si="3"/>
        <v>928.88678893967835</v>
      </c>
      <c r="N19" s="2">
        <f t="shared" si="4"/>
        <v>3107874</v>
      </c>
      <c r="O19" s="2">
        <f t="shared" si="6"/>
        <v>171835.49803227503</v>
      </c>
      <c r="R19" s="2">
        <f t="shared" si="7"/>
        <v>24212</v>
      </c>
      <c r="S19" s="2">
        <f t="shared" si="8"/>
        <v>2930.2905430463147</v>
      </c>
      <c r="V19" s="2">
        <f t="shared" si="9"/>
        <v>30804</v>
      </c>
      <c r="W19" s="2">
        <f t="shared" si="10"/>
        <v>3123.9940247488735</v>
      </c>
    </row>
    <row r="20" spans="1:25" x14ac:dyDescent="0.35">
      <c r="A20" s="2">
        <v>264</v>
      </c>
      <c r="B20" s="2">
        <f t="shared" si="11"/>
        <v>2706510</v>
      </c>
      <c r="C20" s="2">
        <f t="shared" si="5"/>
        <v>359848.82399881945</v>
      </c>
      <c r="F20" s="2">
        <f t="shared" si="0"/>
        <v>2707354</v>
      </c>
      <c r="G20" s="2">
        <f t="shared" si="1"/>
        <v>359846.1162886158</v>
      </c>
      <c r="J20" s="2">
        <f t="shared" si="2"/>
        <v>2137</v>
      </c>
      <c r="K20" s="2">
        <f t="shared" si="3"/>
        <v>1326.6755443589061</v>
      </c>
      <c r="N20" s="2">
        <f t="shared" si="4"/>
        <v>3043678</v>
      </c>
      <c r="O20" s="2">
        <f t="shared" si="6"/>
        <v>482713.14590758766</v>
      </c>
      <c r="R20" s="2">
        <f t="shared" si="7"/>
        <v>20211</v>
      </c>
      <c r="S20" s="2">
        <f t="shared" si="8"/>
        <v>3255.2978358362234</v>
      </c>
      <c r="V20" s="2">
        <f t="shared" si="9"/>
        <v>21416</v>
      </c>
      <c r="W20" s="2">
        <f t="shared" si="10"/>
        <v>4197.3362981776909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26.966507920065318</v>
      </c>
      <c r="C24" s="1">
        <f t="shared" ref="C24:C30" si="13">($A14-$A$13)/(1/LOG(2)*LOG(B14/B$13))</f>
        <v>26.966507920065318</v>
      </c>
      <c r="D24">
        <f>(B14/B13)^(1/($A14-$A13))-1</f>
        <v>2.6037198830502817E-2</v>
      </c>
      <c r="E24">
        <f>(B14/B$13)^(1/($A14-$A$13))-1</f>
        <v>2.6037198830502817E-2</v>
      </c>
      <c r="F24" s="1">
        <f t="shared" ref="F24:F30" si="14">($A14-$A13)/(1/LOG(2)*LOG(F14/F13))</f>
        <v>26.930933881622817</v>
      </c>
      <c r="G24" s="1">
        <f t="shared" ref="G24:G30" si="15">($A14-$A$13)/(1/LOG(2)*LOG(F14/F$13))</f>
        <v>26.930933881622817</v>
      </c>
      <c r="H24">
        <f>(F14/F13)^(1/($A14-$A13))-1</f>
        <v>2.6072036812176957E-2</v>
      </c>
      <c r="I24">
        <f>(F14/F$13)^(1/($A14-$A$13))-1</f>
        <v>2.6072036812176957E-2</v>
      </c>
      <c r="J24" s="1">
        <f t="shared" ref="J24:J30" si="16">($A14-$A13)/(1/LOG(2)*LOG(J14/J13))</f>
        <v>7.6866081164146038</v>
      </c>
      <c r="K24" s="1">
        <f t="shared" ref="K24:K30" si="17">($A14-$A$13)/(1/LOG(2)*LOG(J14/J$13))</f>
        <v>7.6866081164146038</v>
      </c>
      <c r="L24">
        <f>(J14/J13)^(1/($A14-$A13))-1</f>
        <v>9.4366819381756395E-2</v>
      </c>
      <c r="M24">
        <f>(J14/J$13)^(1/($A14-$A$13))-1</f>
        <v>9.4366819381756395E-2</v>
      </c>
      <c r="N24" s="1">
        <f t="shared" ref="N24:N30" si="18">($A14-$A13)/(1/LOG(2)*LOG(N14/N13))</f>
        <v>27.253439966272865</v>
      </c>
      <c r="O24" s="1">
        <f t="shared" ref="O24:O30" si="19">($A14-$A$13)/(1/LOG(2)*LOG(N14/N$13))</f>
        <v>27.253439966272865</v>
      </c>
      <c r="P24">
        <f>(N14/N13)^(1/($A14-$A13))-1</f>
        <v>2.5759571113145308E-2</v>
      </c>
      <c r="Q24">
        <f>(N14/N$13)^(1/($A14-$A$13))-1</f>
        <v>2.5759571113145308E-2</v>
      </c>
      <c r="R24" s="1">
        <f t="shared" ref="R24:R30" si="20">($A14-$A13)/(1/LOG(2)*LOG(R14/R13))</f>
        <v>10.975812478765604</v>
      </c>
      <c r="S24" s="1">
        <f t="shared" ref="S24:S30" si="21">($A14-$A$13)/(1/LOG(2)*LOG(R14/R$13))</f>
        <v>10.975812478765604</v>
      </c>
      <c r="T24">
        <f>(R14/R13)^(1/($A14-$A13))-1</f>
        <v>6.5188994822275692E-2</v>
      </c>
      <c r="U24">
        <f>(R14/R$13)^(1/($A14-$A$13))-1</f>
        <v>6.5188994822275692E-2</v>
      </c>
      <c r="V24" s="1">
        <f t="shared" ref="V24:V30" si="22">($A14-$A13)/(1/LOG(2)*LOG(V14/V13))</f>
        <v>10.384467791872998</v>
      </c>
      <c r="W24" s="1">
        <f t="shared" ref="W24:W30" si="23">($A14-$A$13)/(1/LOG(2)*LOG(V14/V$13))</f>
        <v>10.384467791872998</v>
      </c>
      <c r="X24">
        <f>(V14/V13)^(1/($A14-$A13))-1</f>
        <v>6.9026536014393347E-2</v>
      </c>
      <c r="Y24">
        <f>(V14/V$13)^(1/($A14-$A$13))-1</f>
        <v>6.9026536014393347E-2</v>
      </c>
    </row>
    <row r="25" spans="1:25" x14ac:dyDescent="0.35">
      <c r="A25" s="2">
        <v>46</v>
      </c>
      <c r="B25" s="1">
        <f t="shared" si="12"/>
        <v>45.143995839012376</v>
      </c>
      <c r="C25" s="1">
        <f t="shared" si="13"/>
        <v>33.398136418436209</v>
      </c>
      <c r="D25">
        <f t="shared" ref="D25:D30" si="24">(B15/B14)^(1/($A15-$A14))-1</f>
        <v>1.5472619256003961E-2</v>
      </c>
      <c r="E25">
        <f t="shared" ref="E25:E30" si="25">(B15/B$13)^(1/($A15-$A$13))-1</f>
        <v>2.0970930916374808E-2</v>
      </c>
      <c r="F25" s="1">
        <f t="shared" si="14"/>
        <v>45.146039648911795</v>
      </c>
      <c r="G25" s="1">
        <f t="shared" si="15"/>
        <v>33.370187573828012</v>
      </c>
      <c r="H25">
        <f t="shared" ref="H25:H30" si="26">(F15/F14)^(1/($A15-$A14))-1</f>
        <v>1.5471913402832493E-2</v>
      </c>
      <c r="I25">
        <f t="shared" ref="I25:I30" si="27">(F15/F$13)^(1/($A15-$A$13))-1</f>
        <v>2.098867794253767E-2</v>
      </c>
      <c r="J25" s="1">
        <f t="shared" si="16"/>
        <v>46.965255561426844</v>
      </c>
      <c r="K25" s="1">
        <f t="shared" si="17"/>
        <v>12.810712506495808</v>
      </c>
      <c r="L25">
        <f t="shared" ref="L25:L30" si="28">(J15/J14)^(1/($A15-$A14))-1</f>
        <v>1.4868170360556876E-2</v>
      </c>
      <c r="M25">
        <f>(J15/J$13)^(1/($A15-$A$13))-1</f>
        <v>5.5597376869892523E-2</v>
      </c>
      <c r="N25" s="1">
        <f t="shared" si="18"/>
        <v>44.703767862147792</v>
      </c>
      <c r="O25" s="1">
        <f t="shared" si="19"/>
        <v>33.509346828428363</v>
      </c>
      <c r="P25">
        <f t="shared" ref="P25:P30" si="29">(N15/N14)^(1/($A15-$A14))-1</f>
        <v>1.5626172863819843E-2</v>
      </c>
      <c r="Q25">
        <f t="shared" ref="Q25:Q30" si="30">(N15/N$13)^(1/($A15-$A$13))-1</f>
        <v>2.0900610549738019E-2</v>
      </c>
      <c r="R25" s="1">
        <f t="shared" si="20"/>
        <v>21.199902566041157</v>
      </c>
      <c r="S25" s="1">
        <f t="shared" si="21"/>
        <v>14.266366534042122</v>
      </c>
      <c r="T25">
        <f t="shared" ref="T25:T30" si="31">(R15/R14)^(1/($A15-$A14))-1</f>
        <v>3.3236152045097223E-2</v>
      </c>
      <c r="U25">
        <f t="shared" ref="U25:U30" si="32">(R15/R$13)^(1/($A15-$A$13))-1</f>
        <v>4.9785759596914225E-2</v>
      </c>
      <c r="V25" s="1">
        <f t="shared" si="22"/>
        <v>23.063345015745085</v>
      </c>
      <c r="W25" s="1">
        <f t="shared" si="23"/>
        <v>14.088654494893392</v>
      </c>
      <c r="X25">
        <f t="shared" ref="X25:X30" si="33">(V15/V14)^(1/($A15-$A14))-1</f>
        <v>3.0510242977749069E-2</v>
      </c>
      <c r="Y25">
        <f t="shared" ref="Y25:Y30" si="34">(V15/V$13)^(1/($A15-$A$13))-1</f>
        <v>5.0429325725853236E-2</v>
      </c>
    </row>
    <row r="26" spans="1:25" x14ac:dyDescent="0.35">
      <c r="A26" s="2">
        <v>70</v>
      </c>
      <c r="B26" s="1">
        <f t="shared" si="12"/>
        <v>77.458882353301021</v>
      </c>
      <c r="C26" s="1">
        <f t="shared" si="13"/>
        <v>41.489738520361065</v>
      </c>
      <c r="D26">
        <f t="shared" si="24"/>
        <v>8.9887405200481663E-3</v>
      </c>
      <c r="E26">
        <f t="shared" si="25"/>
        <v>1.6846806136164627E-2</v>
      </c>
      <c r="F26" s="1">
        <f t="shared" si="14"/>
        <v>77.327725262369057</v>
      </c>
      <c r="G26" s="1">
        <f t="shared" si="15"/>
        <v>41.448488377584837</v>
      </c>
      <c r="H26">
        <f t="shared" si="26"/>
        <v>9.0040549343222143E-3</v>
      </c>
      <c r="I26">
        <f t="shared" si="27"/>
        <v>1.6863712906848516E-2</v>
      </c>
      <c r="J26" s="1">
        <f t="shared" si="16"/>
        <v>32.029051435476092</v>
      </c>
      <c r="K26" s="1">
        <f t="shared" si="17"/>
        <v>16.128792266506771</v>
      </c>
      <c r="L26">
        <f t="shared" si="28"/>
        <v>2.1877071510607138E-2</v>
      </c>
      <c r="M26">
        <f>(J16/J$13)^(1/($A16-$A$13))-1</f>
        <v>4.3912594958600337E-2</v>
      </c>
      <c r="N26" s="1">
        <f t="shared" si="18"/>
        <v>75.6639290309747</v>
      </c>
      <c r="O26" s="1">
        <f t="shared" si="19"/>
        <v>41.421505348472181</v>
      </c>
      <c r="P26">
        <f t="shared" si="29"/>
        <v>9.2029560350945783E-3</v>
      </c>
      <c r="Q26">
        <f t="shared" si="30"/>
        <v>1.6874790532980022E-2</v>
      </c>
      <c r="R26" s="1">
        <f t="shared" si="20"/>
        <v>60.404079477660218</v>
      </c>
      <c r="S26" s="1">
        <f t="shared" si="21"/>
        <v>19.327987653580699</v>
      </c>
      <c r="T26">
        <f t="shared" si="31"/>
        <v>1.1541264000514584E-2</v>
      </c>
      <c r="U26">
        <f t="shared" si="32"/>
        <v>3.6513167205304287E-2</v>
      </c>
      <c r="V26" s="1">
        <f t="shared" si="22"/>
        <v>53.854425588339467</v>
      </c>
      <c r="W26" s="1">
        <f t="shared" si="23"/>
        <v>18.864444656679368</v>
      </c>
      <c r="X26">
        <f t="shared" si="33"/>
        <v>1.2953940854917523E-2</v>
      </c>
      <c r="Y26">
        <f t="shared" si="34"/>
        <v>3.7426966909835935E-2</v>
      </c>
    </row>
    <row r="27" spans="1:25" x14ac:dyDescent="0.35">
      <c r="A27" s="2">
        <v>96</v>
      </c>
      <c r="B27" s="1">
        <f t="shared" si="12"/>
        <v>84.681028781670463</v>
      </c>
      <c r="C27" s="1">
        <f t="shared" si="13"/>
        <v>48.139636347242529</v>
      </c>
      <c r="D27">
        <f t="shared" si="24"/>
        <v>8.2189811151629488E-3</v>
      </c>
      <c r="E27">
        <f t="shared" si="25"/>
        <v>1.4502839504344722E-2</v>
      </c>
      <c r="F27" s="1">
        <f t="shared" si="14"/>
        <v>84.926711745621333</v>
      </c>
      <c r="G27" s="1">
        <f t="shared" si="15"/>
        <v>48.120552301143142</v>
      </c>
      <c r="H27">
        <f t="shared" si="26"/>
        <v>8.195107411614666E-3</v>
      </c>
      <c r="I27">
        <f t="shared" si="27"/>
        <v>1.4508632684260947E-2</v>
      </c>
      <c r="J27" s="1">
        <f t="shared" si="16"/>
        <v>-47.910679699047016</v>
      </c>
      <c r="K27" s="1">
        <f t="shared" si="17"/>
        <v>25.280534421515831</v>
      </c>
      <c r="L27">
        <f t="shared" si="28"/>
        <v>-1.4363336706433416E-2</v>
      </c>
      <c r="M27">
        <f t="shared" ref="M27:M30" si="35">(J17/J$13)^(1/($A17-$A$13))-1</f>
        <v>2.7797555380352446E-2</v>
      </c>
      <c r="N27" s="1">
        <f t="shared" si="18"/>
        <v>80.652887632675245</v>
      </c>
      <c r="O27" s="1">
        <f t="shared" si="19"/>
        <v>47.706307448563898</v>
      </c>
      <c r="P27">
        <f t="shared" si="29"/>
        <v>8.6312378311304006E-3</v>
      </c>
      <c r="Q27">
        <f t="shared" si="30"/>
        <v>1.4635531942297275E-2</v>
      </c>
      <c r="R27" s="1">
        <f t="shared" si="20"/>
        <v>74.907916052221708</v>
      </c>
      <c r="S27" s="1">
        <f t="shared" si="21"/>
        <v>24.188769900693384</v>
      </c>
      <c r="T27">
        <f t="shared" si="31"/>
        <v>9.2962678633561335E-3</v>
      </c>
      <c r="U27">
        <f t="shared" si="32"/>
        <v>2.9070269134823912E-2</v>
      </c>
      <c r="V27" s="1">
        <f t="shared" si="22"/>
        <v>107.47496892334065</v>
      </c>
      <c r="W27" s="1">
        <f t="shared" si="23"/>
        <v>24.287803377075861</v>
      </c>
      <c r="X27">
        <f t="shared" si="33"/>
        <v>6.4702245193519747E-3</v>
      </c>
      <c r="Y27">
        <f t="shared" si="34"/>
        <v>2.8950035736333701E-2</v>
      </c>
    </row>
    <row r="28" spans="1:25" x14ac:dyDescent="0.35">
      <c r="A28" s="2">
        <v>120</v>
      </c>
      <c r="B28" s="1">
        <f t="shared" si="12"/>
        <v>2288.1608063598924</v>
      </c>
      <c r="C28" s="1">
        <f t="shared" si="13"/>
        <v>59.859704753855496</v>
      </c>
      <c r="D28">
        <f t="shared" si="24"/>
        <v>3.0297353925434756E-4</v>
      </c>
      <c r="E28">
        <f t="shared" si="25"/>
        <v>1.1646831160250448E-2</v>
      </c>
      <c r="F28" s="1">
        <f t="shared" si="14"/>
        <v>2282.3327091407909</v>
      </c>
      <c r="G28" s="1">
        <f t="shared" si="15"/>
        <v>59.835299499423456</v>
      </c>
      <c r="H28">
        <f t="shared" si="26"/>
        <v>3.0374732099947011E-4</v>
      </c>
      <c r="I28">
        <f t="shared" si="27"/>
        <v>1.1651609166485555E-2</v>
      </c>
      <c r="J28" s="1">
        <f t="shared" si="16"/>
        <v>564.7234313401616</v>
      </c>
      <c r="K28" s="1">
        <f t="shared" si="17"/>
        <v>31.250921604363523</v>
      </c>
      <c r="L28">
        <f t="shared" si="28"/>
        <v>1.2281635647661826E-3</v>
      </c>
      <c r="M28">
        <f t="shared" si="35"/>
        <v>2.2427861819646067E-2</v>
      </c>
      <c r="N28" s="1">
        <f t="shared" si="18"/>
        <v>6009.9165739858008</v>
      </c>
      <c r="O28" s="1">
        <f t="shared" si="19"/>
        <v>59.514778249084415</v>
      </c>
      <c r="P28">
        <f t="shared" si="29"/>
        <v>1.153405617615455E-4</v>
      </c>
      <c r="Q28">
        <f t="shared" si="30"/>
        <v>1.1714725901411427E-2</v>
      </c>
      <c r="R28" s="1">
        <f t="shared" si="20"/>
        <v>-326.89907433421172</v>
      </c>
      <c r="S28" s="1">
        <f t="shared" si="21"/>
        <v>30.805828705151015</v>
      </c>
      <c r="T28">
        <f t="shared" si="31"/>
        <v>-2.1181241844888676E-3</v>
      </c>
      <c r="U28">
        <f t="shared" si="32"/>
        <v>2.2755566517218551E-2</v>
      </c>
      <c r="V28" s="1">
        <f t="shared" si="22"/>
        <v>-380.75237280435965</v>
      </c>
      <c r="W28" s="1">
        <f t="shared" si="23"/>
        <v>30.851754668850806</v>
      </c>
      <c r="X28">
        <f t="shared" si="33"/>
        <v>-1.8188110879382435E-3</v>
      </c>
      <c r="Y28">
        <f t="shared" si="34"/>
        <v>2.2721310603779132E-2</v>
      </c>
    </row>
    <row r="29" spans="1:25" x14ac:dyDescent="0.35">
      <c r="A29" s="2">
        <v>168</v>
      </c>
      <c r="B29" s="1">
        <f t="shared" si="12"/>
        <v>-2791.3899652488381</v>
      </c>
      <c r="C29" s="1">
        <f t="shared" si="13"/>
        <v>84.528653421423186</v>
      </c>
      <c r="D29">
        <f t="shared" si="24"/>
        <v>-2.4828531179632574E-4</v>
      </c>
      <c r="E29">
        <f t="shared" si="25"/>
        <v>8.2338578699217013E-3</v>
      </c>
      <c r="F29" s="1">
        <f t="shared" si="14"/>
        <v>-3158.9088728175543</v>
      </c>
      <c r="G29" s="1">
        <f t="shared" si="15"/>
        <v>84.408961073854357</v>
      </c>
      <c r="H29">
        <f t="shared" si="26"/>
        <v>-2.1940206784076821E-4</v>
      </c>
      <c r="I29">
        <f t="shared" si="27"/>
        <v>8.2455815279853795E-3</v>
      </c>
      <c r="J29" s="1">
        <f t="shared" si="16"/>
        <v>32.584223959830041</v>
      </c>
      <c r="K29" s="1">
        <f t="shared" si="17"/>
        <v>31.620599358835605</v>
      </c>
      <c r="L29">
        <f t="shared" si="28"/>
        <v>2.150034988077798E-2</v>
      </c>
      <c r="M29">
        <f t="shared" si="35"/>
        <v>2.2162772506105766E-2</v>
      </c>
      <c r="N29" s="1">
        <f t="shared" si="18"/>
        <v>-67160.96976303168</v>
      </c>
      <c r="O29" s="1">
        <f t="shared" si="19"/>
        <v>83.35023391477452</v>
      </c>
      <c r="P29">
        <f t="shared" si="29"/>
        <v>-1.0320631255611445E-5</v>
      </c>
      <c r="Q29">
        <f t="shared" si="30"/>
        <v>8.3507542501533027E-3</v>
      </c>
      <c r="R29" s="1">
        <f t="shared" si="20"/>
        <v>455.63065775695134</v>
      </c>
      <c r="S29" s="1">
        <f t="shared" si="21"/>
        <v>41.992491651569736</v>
      </c>
      <c r="T29">
        <f t="shared" si="31"/>
        <v>1.5224495449825959E-3</v>
      </c>
      <c r="U29">
        <f t="shared" si="32"/>
        <v>1.6643439362309387E-2</v>
      </c>
      <c r="V29" s="1">
        <f t="shared" si="22"/>
        <v>155.68988881304617</v>
      </c>
      <c r="W29" s="1">
        <f t="shared" si="23"/>
        <v>40.020264931973472</v>
      </c>
      <c r="X29">
        <f t="shared" si="33"/>
        <v>4.4620267830390858E-3</v>
      </c>
      <c r="Y29">
        <f t="shared" si="34"/>
        <v>1.7470764096035651E-2</v>
      </c>
    </row>
    <row r="30" spans="1:25" x14ac:dyDescent="0.35">
      <c r="A30" s="2">
        <v>264</v>
      </c>
      <c r="B30" s="1">
        <f t="shared" si="12"/>
        <v>-671.68518125703918</v>
      </c>
      <c r="C30" s="1">
        <f t="shared" si="13"/>
        <v>143.12297096895961</v>
      </c>
      <c r="D30">
        <f t="shared" si="24"/>
        <v>-1.0314201882269947E-3</v>
      </c>
      <c r="E30">
        <f t="shared" si="25"/>
        <v>4.8547647594172627E-3</v>
      </c>
      <c r="F30" s="1">
        <f t="shared" si="14"/>
        <v>-659.30264123355266</v>
      </c>
      <c r="G30" s="1">
        <f t="shared" si="15"/>
        <v>143.11257617552022</v>
      </c>
      <c r="H30">
        <f t="shared" si="26"/>
        <v>-1.0507813867918214E-3</v>
      </c>
      <c r="I30">
        <f t="shared" si="27"/>
        <v>4.8551182334826137E-3</v>
      </c>
      <c r="J30" s="1">
        <f t="shared" si="16"/>
        <v>-59.016616819763335</v>
      </c>
      <c r="K30" s="1">
        <f t="shared" si="17"/>
        <v>71.615909010310148</v>
      </c>
      <c r="L30">
        <f t="shared" si="28"/>
        <v>-1.1676246752420516E-2</v>
      </c>
      <c r="M30">
        <f t="shared" si="35"/>
        <v>9.7256658734183876E-3</v>
      </c>
      <c r="N30" s="1">
        <f t="shared" si="18"/>
        <v>-3188.0686395639036</v>
      </c>
      <c r="O30" s="1">
        <f t="shared" si="19"/>
        <v>132.96539867374756</v>
      </c>
      <c r="P30">
        <f t="shared" si="29"/>
        <v>-2.1739551830324277E-4</v>
      </c>
      <c r="Q30">
        <f t="shared" si="30"/>
        <v>5.226600419069749E-3</v>
      </c>
      <c r="R30" s="1">
        <f t="shared" si="20"/>
        <v>-368.40674111787445</v>
      </c>
      <c r="S30" s="1">
        <f t="shared" si="21"/>
        <v>70.585712748360137</v>
      </c>
      <c r="T30">
        <f t="shared" si="31"/>
        <v>-1.8797037169031583E-3</v>
      </c>
      <c r="U30">
        <f t="shared" si="32"/>
        <v>9.8683097679923559E-3</v>
      </c>
      <c r="V30" s="1">
        <f t="shared" si="22"/>
        <v>-183.05635780683943</v>
      </c>
      <c r="W30" s="1">
        <f t="shared" si="23"/>
        <v>71.867151572218006</v>
      </c>
      <c r="X30">
        <f t="shared" si="33"/>
        <v>-3.7793635503230449E-3</v>
      </c>
      <c r="Y30">
        <f t="shared" si="34"/>
        <v>9.6915013960356955E-3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7" s="3" customFormat="1" x14ac:dyDescent="0.35">
      <c r="A33" s="4">
        <v>0</v>
      </c>
      <c r="B33" s="5">
        <f>F13/V13</f>
        <v>449.069109323801</v>
      </c>
      <c r="C33" s="5">
        <f>G13/W13</f>
        <v>118.98342644254133</v>
      </c>
      <c r="D33" s="5">
        <f>F13/(F13+V13)*100</f>
        <v>99.777811900598451</v>
      </c>
      <c r="E33" s="5">
        <f>V13/(F13+V13)*100</f>
        <v>0.22218809940154163</v>
      </c>
    </row>
    <row r="34" spans="1:7" s="3" customFormat="1" x14ac:dyDescent="0.35">
      <c r="A34" s="4">
        <v>24</v>
      </c>
      <c r="B34" s="5">
        <f t="shared" ref="B34:C40" si="36">F14/V14</f>
        <v>167.82551020408164</v>
      </c>
      <c r="C34" s="5">
        <f t="shared" si="36"/>
        <v>346.75421968573505</v>
      </c>
      <c r="D34" s="5">
        <f>F14/(F14+V14)*100</f>
        <v>99.407672454955915</v>
      </c>
      <c r="E34" s="5">
        <f>V14/(F14+V14)*100</f>
        <v>0.59232754504409213</v>
      </c>
    </row>
    <row r="35" spans="1:7" s="3" customFormat="1" x14ac:dyDescent="0.35">
      <c r="A35" s="4">
        <v>46</v>
      </c>
      <c r="B35" s="5">
        <f t="shared" si="36"/>
        <v>121.45104115022311</v>
      </c>
      <c r="C35" s="5">
        <f t="shared" si="36"/>
        <v>73.551855783131742</v>
      </c>
      <c r="D35" s="5">
        <f>F15/(F15+V15)*100</f>
        <v>99.183347082550981</v>
      </c>
      <c r="E35" s="5">
        <f>V15/(F15+V15)*100</f>
        <v>0.81665291744902246</v>
      </c>
    </row>
    <row r="36" spans="1:7" s="3" customFormat="1" x14ac:dyDescent="0.35">
      <c r="A36" s="4">
        <v>70</v>
      </c>
      <c r="B36" s="5">
        <f t="shared" si="36"/>
        <v>110.58045140152895</v>
      </c>
      <c r="C36" s="5">
        <f t="shared" si="36"/>
        <v>115.0798894345659</v>
      </c>
      <c r="D36" s="5">
        <f>F16/(F16+V16)*100</f>
        <v>99.103785665464429</v>
      </c>
      <c r="E36" s="5">
        <f>V16/(F16+V16)*100</f>
        <v>0.89621433453557198</v>
      </c>
    </row>
    <row r="37" spans="1:7" s="3" customFormat="1" x14ac:dyDescent="0.35">
      <c r="A37" s="4">
        <v>96</v>
      </c>
      <c r="B37" s="5">
        <f t="shared" si="36"/>
        <v>115.61478374634447</v>
      </c>
      <c r="C37" s="5">
        <f t="shared" si="36"/>
        <v>74.73260112262642</v>
      </c>
      <c r="D37" s="5">
        <f>F17/(F17+V17)*100</f>
        <v>99.142475792627494</v>
      </c>
      <c r="E37" s="5">
        <f>V17/(F17+V17)*100</f>
        <v>0.85752420737250401</v>
      </c>
    </row>
    <row r="38" spans="1:7" s="3" customFormat="1" x14ac:dyDescent="0.35">
      <c r="A38" s="4">
        <v>120</v>
      </c>
      <c r="B38" s="5">
        <f t="shared" si="36"/>
        <v>121.66165534429392</v>
      </c>
      <c r="C38" s="5">
        <f t="shared" si="36"/>
        <v>118.51739621431886</v>
      </c>
      <c r="D38" s="5">
        <f>F18/(F18+V18)*100</f>
        <v>99.184749303119105</v>
      </c>
      <c r="E38" s="5">
        <f>V18/(F18+V18)*100</f>
        <v>0.8152506968808968</v>
      </c>
    </row>
    <row r="39" spans="1:7" s="3" customFormat="1" x14ac:dyDescent="0.35">
      <c r="A39" s="4">
        <v>168</v>
      </c>
      <c r="B39" s="5">
        <f t="shared" si="36"/>
        <v>97.223315153876115</v>
      </c>
      <c r="C39" s="5">
        <f t="shared" si="36"/>
        <v>52.262669218270702</v>
      </c>
      <c r="D39" s="5">
        <f>F19/(F19+V19)*100</f>
        <v>98.981911780890925</v>
      </c>
      <c r="E39" s="5">
        <f>V19/(F19+V19)*100</f>
        <v>1.0180882191090836</v>
      </c>
    </row>
    <row r="40" spans="1:7" s="3" customFormat="1" x14ac:dyDescent="0.35">
      <c r="A40" s="4">
        <v>264</v>
      </c>
      <c r="B40" s="5">
        <f t="shared" si="36"/>
        <v>126.41735151288756</v>
      </c>
      <c r="C40" s="5">
        <f>G20/W20</f>
        <v>85.732019243930026</v>
      </c>
      <c r="D40" s="5">
        <f>F20/(F20+V20)*100</f>
        <v>99.215177534200393</v>
      </c>
      <c r="E40" s="5">
        <f>V20/(F20+V20)*100</f>
        <v>0.78482246579960946</v>
      </c>
    </row>
    <row r="41" spans="1:7" s="3" customFormat="1" x14ac:dyDescent="0.35"/>
    <row r="42" spans="1:7" s="3" customFormat="1" ht="43.5" x14ac:dyDescent="0.35">
      <c r="A42" s="3" t="s">
        <v>0</v>
      </c>
      <c r="B42" s="3" t="s">
        <v>56</v>
      </c>
      <c r="C42" s="3" t="s">
        <v>57</v>
      </c>
      <c r="D42" s="3" t="s">
        <v>58</v>
      </c>
      <c r="E42" s="3" t="s">
        <v>59</v>
      </c>
      <c r="F42" s="3" t="s">
        <v>60</v>
      </c>
      <c r="G42" s="3" t="s">
        <v>47</v>
      </c>
    </row>
    <row r="43" spans="1:7" s="3" customFormat="1" x14ac:dyDescent="0.35">
      <c r="A43" s="4">
        <v>0</v>
      </c>
      <c r="B43" s="5">
        <f>F2/V2</f>
        <v>391.43436499466384</v>
      </c>
      <c r="C43" s="5">
        <f t="shared" ref="C43:E50" si="37">G2/W2</f>
        <v>554.57024793388427</v>
      </c>
      <c r="D43" s="5">
        <f t="shared" si="37"/>
        <v>341.87162162162161</v>
      </c>
      <c r="E43" s="5">
        <f>I2/Y2</f>
        <v>583.516717325228</v>
      </c>
      <c r="F43" s="5">
        <f>AVERAGE(B43:E43)</f>
        <v>467.84823796884945</v>
      </c>
      <c r="G43" s="5">
        <f>_xlfn.STDEV.S(B43:E43)</f>
        <v>119.17646856406411</v>
      </c>
    </row>
    <row r="44" spans="1:7" s="3" customFormat="1" x14ac:dyDescent="0.35">
      <c r="A44" s="4">
        <v>24</v>
      </c>
      <c r="B44" s="5">
        <f t="shared" ref="B44:B50" si="38">F3/V3</f>
        <v>146.79861111111111</v>
      </c>
      <c r="C44" s="5">
        <f t="shared" si="37"/>
        <v>177.26669824727617</v>
      </c>
      <c r="D44" s="5">
        <f t="shared" si="37"/>
        <v>147.81170598911072</v>
      </c>
      <c r="E44" s="5">
        <f t="shared" si="37"/>
        <v>203.1572392319668</v>
      </c>
      <c r="F44" s="5">
        <f t="shared" ref="F44:F50" si="39">AVERAGE(B44:E44)</f>
        <v>168.75856364486617</v>
      </c>
      <c r="G44" s="5">
        <f t="shared" ref="G44:G50" si="40">_xlfn.STDEV.S(B44:E44)</f>
        <v>26.936144227255923</v>
      </c>
    </row>
    <row r="45" spans="1:7" s="3" customFormat="1" x14ac:dyDescent="0.35">
      <c r="A45" s="4">
        <v>46</v>
      </c>
      <c r="B45" s="5">
        <f t="shared" si="38"/>
        <v>111.96433348194383</v>
      </c>
      <c r="C45" s="5">
        <f t="shared" si="37"/>
        <v>135.74887892376682</v>
      </c>
      <c r="D45" s="5">
        <f t="shared" si="37"/>
        <v>122.98226784881008</v>
      </c>
      <c r="E45" s="5">
        <f t="shared" si="37"/>
        <v>119.41348420556341</v>
      </c>
      <c r="F45" s="5">
        <f t="shared" si="39"/>
        <v>122.52724111502103</v>
      </c>
      <c r="G45" s="5">
        <f t="shared" si="40"/>
        <v>9.9379618203840767</v>
      </c>
    </row>
    <row r="46" spans="1:7" s="3" customFormat="1" x14ac:dyDescent="0.35">
      <c r="A46" s="4">
        <v>70</v>
      </c>
      <c r="B46" s="5">
        <f t="shared" si="38"/>
        <v>107.22675598863175</v>
      </c>
      <c r="C46" s="5">
        <f t="shared" si="37"/>
        <v>115.3856433753341</v>
      </c>
      <c r="D46" s="5">
        <f t="shared" si="37"/>
        <v>109.69428672817601</v>
      </c>
      <c r="E46" s="5">
        <f t="shared" si="37"/>
        <v>109.9886658031088</v>
      </c>
      <c r="F46" s="5">
        <f t="shared" si="39"/>
        <v>110.57383797381266</v>
      </c>
      <c r="G46" s="5">
        <f t="shared" si="40"/>
        <v>3.4386269498498336</v>
      </c>
    </row>
    <row r="47" spans="1:7" s="3" customFormat="1" x14ac:dyDescent="0.35">
      <c r="A47" s="4">
        <v>96</v>
      </c>
      <c r="B47" s="5">
        <f t="shared" si="38"/>
        <v>118.24853556485355</v>
      </c>
      <c r="C47" s="5">
        <f t="shared" si="37"/>
        <v>119.22233748271093</v>
      </c>
      <c r="D47" s="5">
        <f t="shared" si="37"/>
        <v>105.59159553512804</v>
      </c>
      <c r="E47" s="5">
        <f t="shared" si="37"/>
        <v>121.62080435439975</v>
      </c>
      <c r="F47" s="5">
        <f t="shared" si="39"/>
        <v>116.17081823427307</v>
      </c>
      <c r="G47" s="5">
        <f t="shared" si="40"/>
        <v>7.1937700050590134</v>
      </c>
    </row>
    <row r="48" spans="1:7" s="3" customFormat="1" x14ac:dyDescent="0.35">
      <c r="A48" s="4">
        <v>120</v>
      </c>
      <c r="B48" s="5">
        <f t="shared" si="38"/>
        <v>123.08161791260383</v>
      </c>
      <c r="C48" s="5">
        <f t="shared" si="37"/>
        <v>117.84922575387122</v>
      </c>
      <c r="D48" s="5">
        <f t="shared" si="37"/>
        <v>118.14918414918415</v>
      </c>
      <c r="E48" s="5">
        <f t="shared" si="37"/>
        <v>127.91324921135647</v>
      </c>
      <c r="F48" s="5">
        <f t="shared" si="39"/>
        <v>121.74831925675392</v>
      </c>
      <c r="G48" s="5">
        <f t="shared" si="40"/>
        <v>4.7588776799300874</v>
      </c>
    </row>
    <row r="49" spans="1:7" s="3" customFormat="1" x14ac:dyDescent="0.35">
      <c r="A49" s="4">
        <v>168</v>
      </c>
      <c r="B49" s="5">
        <f t="shared" si="38"/>
        <v>101.30216647662486</v>
      </c>
      <c r="C49" s="5">
        <f t="shared" si="37"/>
        <v>101.58439716312057</v>
      </c>
      <c r="D49" s="5">
        <f t="shared" si="37"/>
        <v>92.289974172340919</v>
      </c>
      <c r="E49" s="5">
        <f t="shared" si="37"/>
        <v>95.113746958637464</v>
      </c>
      <c r="F49" s="5">
        <f t="shared" si="39"/>
        <v>97.572571192680954</v>
      </c>
      <c r="G49" s="5">
        <f t="shared" si="40"/>
        <v>4.6172241477730385</v>
      </c>
    </row>
    <row r="50" spans="1:7" s="3" customFormat="1" x14ac:dyDescent="0.35">
      <c r="A50" s="4">
        <v>264</v>
      </c>
      <c r="B50" s="5">
        <f t="shared" si="38"/>
        <v>106.48367221195318</v>
      </c>
      <c r="C50" s="5">
        <f t="shared" si="37"/>
        <v>135.70186335403727</v>
      </c>
      <c r="D50" s="5">
        <f t="shared" si="37"/>
        <v>125.11272475795298</v>
      </c>
      <c r="E50" s="5">
        <f t="shared" si="37"/>
        <v>145.88660801564026</v>
      </c>
      <c r="F50" s="5">
        <f t="shared" si="39"/>
        <v>128.29621708489591</v>
      </c>
      <c r="G50" s="5">
        <f t="shared" si="40"/>
        <v>16.834361555955709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E5DB-C890-47D6-80CF-04E6919D47F2}">
  <dimension ref="A1:Y50"/>
  <sheetViews>
    <sheetView topLeftCell="A37" workbookViewId="0">
      <selection activeCell="F43" sqref="F43:G50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5</v>
      </c>
      <c r="S1" t="s">
        <v>5</v>
      </c>
      <c r="T1" t="s">
        <v>5</v>
      </c>
      <c r="U1" t="s">
        <v>5</v>
      </c>
      <c r="V1" t="s">
        <v>6</v>
      </c>
      <c r="W1" t="s">
        <v>6</v>
      </c>
      <c r="X1" t="s">
        <v>6</v>
      </c>
      <c r="Y1" t="s">
        <v>6</v>
      </c>
    </row>
    <row r="2" spans="1:25" x14ac:dyDescent="0.35">
      <c r="A2">
        <v>0</v>
      </c>
      <c r="B2">
        <v>739862</v>
      </c>
      <c r="C2">
        <v>806812</v>
      </c>
      <c r="D2">
        <v>701492</v>
      </c>
      <c r="E2">
        <v>785512</v>
      </c>
      <c r="F2">
        <v>740378</v>
      </c>
      <c r="G2">
        <v>806984</v>
      </c>
      <c r="H2">
        <v>701950</v>
      </c>
      <c r="I2">
        <v>785724</v>
      </c>
      <c r="J2">
        <v>516</v>
      </c>
      <c r="K2">
        <v>172</v>
      </c>
      <c r="L2">
        <v>458</v>
      </c>
      <c r="M2">
        <v>212</v>
      </c>
      <c r="N2">
        <v>752762</v>
      </c>
      <c r="O2">
        <v>823872</v>
      </c>
      <c r="P2">
        <v>713388</v>
      </c>
      <c r="Q2">
        <v>803436</v>
      </c>
      <c r="R2">
        <v>3706</v>
      </c>
      <c r="S2">
        <v>2844</v>
      </c>
      <c r="T2">
        <v>3334</v>
      </c>
      <c r="U2">
        <v>2860</v>
      </c>
      <c r="V2">
        <v>4222</v>
      </c>
      <c r="W2">
        <v>3016</v>
      </c>
      <c r="X2">
        <v>3790</v>
      </c>
      <c r="Y2">
        <v>3072</v>
      </c>
    </row>
    <row r="3" spans="1:25" x14ac:dyDescent="0.35">
      <c r="A3">
        <v>24</v>
      </c>
      <c r="B3">
        <v>1231776</v>
      </c>
      <c r="C3">
        <v>1368828</v>
      </c>
      <c r="D3">
        <v>1346982</v>
      </c>
      <c r="E3">
        <v>1674252</v>
      </c>
      <c r="F3">
        <v>1234032</v>
      </c>
      <c r="G3">
        <v>1369936</v>
      </c>
      <c r="H3">
        <v>1349586</v>
      </c>
      <c r="I3">
        <v>1675532</v>
      </c>
      <c r="J3">
        <v>2256</v>
      </c>
      <c r="K3">
        <v>1116</v>
      </c>
      <c r="L3">
        <v>2604</v>
      </c>
      <c r="M3">
        <v>1284</v>
      </c>
      <c r="N3">
        <v>1247372</v>
      </c>
      <c r="O3">
        <v>1389860</v>
      </c>
      <c r="P3">
        <v>1363168</v>
      </c>
      <c r="Q3">
        <v>1697424</v>
      </c>
      <c r="R3">
        <v>7658</v>
      </c>
      <c r="S3">
        <v>7736</v>
      </c>
      <c r="T3">
        <v>7730</v>
      </c>
      <c r="U3">
        <v>8656</v>
      </c>
      <c r="V3">
        <v>9914</v>
      </c>
      <c r="W3">
        <v>8848</v>
      </c>
      <c r="X3">
        <v>10334</v>
      </c>
      <c r="Y3">
        <v>9940</v>
      </c>
    </row>
    <row r="4" spans="1:25" x14ac:dyDescent="0.35">
      <c r="A4">
        <v>46</v>
      </c>
      <c r="B4">
        <v>1923560</v>
      </c>
      <c r="C4">
        <v>1802808</v>
      </c>
      <c r="D4">
        <v>2274304</v>
      </c>
      <c r="E4">
        <v>2082392</v>
      </c>
      <c r="F4">
        <v>1925168</v>
      </c>
      <c r="G4">
        <v>1805420</v>
      </c>
      <c r="H4">
        <v>2276568</v>
      </c>
      <c r="I4">
        <v>2085932</v>
      </c>
      <c r="J4">
        <v>1608</v>
      </c>
      <c r="K4">
        <v>2616</v>
      </c>
      <c r="L4">
        <v>2264</v>
      </c>
      <c r="M4">
        <v>3544</v>
      </c>
      <c r="N4">
        <v>1964816</v>
      </c>
      <c r="O4">
        <v>1825300</v>
      </c>
      <c r="P4">
        <v>2327512</v>
      </c>
      <c r="Q4">
        <v>2108736</v>
      </c>
      <c r="R4">
        <v>15504</v>
      </c>
      <c r="S4">
        <v>13540</v>
      </c>
      <c r="T4">
        <v>21072</v>
      </c>
      <c r="U4">
        <v>14784</v>
      </c>
      <c r="V4">
        <v>17112</v>
      </c>
      <c r="W4">
        <v>16156</v>
      </c>
      <c r="X4">
        <v>23328</v>
      </c>
      <c r="Y4">
        <v>18328</v>
      </c>
    </row>
    <row r="5" spans="1:25" x14ac:dyDescent="0.35">
      <c r="A5">
        <v>70</v>
      </c>
      <c r="B5">
        <v>2165636</v>
      </c>
      <c r="C5">
        <v>2299008</v>
      </c>
      <c r="D5">
        <v>2518912</v>
      </c>
      <c r="E5">
        <v>2860840</v>
      </c>
      <c r="F5">
        <v>2169888</v>
      </c>
      <c r="G5">
        <v>2301392</v>
      </c>
      <c r="H5">
        <v>2524520</v>
      </c>
      <c r="I5">
        <v>2863840</v>
      </c>
      <c r="J5">
        <v>2384</v>
      </c>
      <c r="K5">
        <v>4256</v>
      </c>
      <c r="L5">
        <v>3016</v>
      </c>
      <c r="M5">
        <v>5608</v>
      </c>
      <c r="N5">
        <v>2201428</v>
      </c>
      <c r="O5">
        <v>2347072</v>
      </c>
      <c r="P5">
        <v>2563220</v>
      </c>
      <c r="Q5">
        <v>2913816</v>
      </c>
      <c r="R5">
        <v>16788</v>
      </c>
      <c r="S5">
        <v>18528</v>
      </c>
      <c r="T5">
        <v>20360</v>
      </c>
      <c r="U5">
        <v>20648</v>
      </c>
      <c r="V5">
        <v>20904</v>
      </c>
      <c r="W5">
        <v>21036</v>
      </c>
      <c r="X5">
        <v>23376</v>
      </c>
      <c r="Y5">
        <v>26244</v>
      </c>
    </row>
    <row r="6" spans="1:25" x14ac:dyDescent="0.35">
      <c r="A6">
        <v>96</v>
      </c>
      <c r="B6">
        <v>3075420</v>
      </c>
      <c r="C6">
        <v>2937688</v>
      </c>
      <c r="D6">
        <v>3392000</v>
      </c>
      <c r="E6">
        <v>3155072</v>
      </c>
      <c r="F6">
        <v>3077320</v>
      </c>
      <c r="G6">
        <v>2940432</v>
      </c>
      <c r="H6">
        <v>3394060</v>
      </c>
      <c r="I6">
        <v>3158840</v>
      </c>
      <c r="J6">
        <v>1920</v>
      </c>
      <c r="K6">
        <v>2752</v>
      </c>
      <c r="L6">
        <v>2080</v>
      </c>
      <c r="M6">
        <v>3784</v>
      </c>
      <c r="N6">
        <v>3216280</v>
      </c>
      <c r="O6">
        <v>2998288</v>
      </c>
      <c r="P6">
        <v>3552460</v>
      </c>
      <c r="Q6">
        <v>3240248</v>
      </c>
      <c r="R6">
        <v>27300</v>
      </c>
      <c r="S6">
        <v>18744</v>
      </c>
      <c r="T6">
        <v>29120</v>
      </c>
      <c r="U6">
        <v>23040</v>
      </c>
      <c r="V6">
        <v>29200</v>
      </c>
      <c r="W6">
        <v>21488</v>
      </c>
      <c r="X6">
        <v>31200</v>
      </c>
      <c r="Y6">
        <v>26808</v>
      </c>
    </row>
    <row r="7" spans="1:25" x14ac:dyDescent="0.35">
      <c r="A7">
        <v>120</v>
      </c>
      <c r="B7">
        <v>2942320</v>
      </c>
      <c r="C7">
        <v>3041140</v>
      </c>
      <c r="D7">
        <v>3154280</v>
      </c>
      <c r="E7">
        <v>3220460</v>
      </c>
      <c r="F7">
        <v>2945672</v>
      </c>
      <c r="G7">
        <v>3042860</v>
      </c>
      <c r="H7">
        <v>3158896</v>
      </c>
      <c r="I7">
        <v>3222000</v>
      </c>
      <c r="J7">
        <v>3368</v>
      </c>
      <c r="K7">
        <v>1720</v>
      </c>
      <c r="L7">
        <v>4640</v>
      </c>
      <c r="M7">
        <v>1560</v>
      </c>
      <c r="N7">
        <v>3000024</v>
      </c>
      <c r="O7">
        <v>3161740</v>
      </c>
      <c r="P7">
        <v>3223016</v>
      </c>
      <c r="Q7">
        <v>3374040</v>
      </c>
      <c r="R7">
        <v>20816</v>
      </c>
      <c r="S7">
        <v>24160</v>
      </c>
      <c r="T7">
        <v>26800</v>
      </c>
      <c r="U7">
        <v>26400</v>
      </c>
      <c r="V7">
        <v>24160</v>
      </c>
      <c r="W7">
        <v>25880</v>
      </c>
      <c r="X7">
        <v>31416</v>
      </c>
      <c r="Y7">
        <v>27960</v>
      </c>
    </row>
    <row r="8" spans="1:25" x14ac:dyDescent="0.35">
      <c r="A8">
        <v>168</v>
      </c>
      <c r="B8">
        <v>2972616</v>
      </c>
      <c r="C8">
        <v>3035720</v>
      </c>
      <c r="D8">
        <v>3212096</v>
      </c>
      <c r="E8">
        <v>3095660</v>
      </c>
      <c r="F8">
        <v>2979616</v>
      </c>
      <c r="G8">
        <v>3040900</v>
      </c>
      <c r="H8">
        <v>3220152</v>
      </c>
      <c r="I8">
        <v>3101220</v>
      </c>
      <c r="J8">
        <v>7040</v>
      </c>
      <c r="K8">
        <v>5220</v>
      </c>
      <c r="L8">
        <v>8216</v>
      </c>
      <c r="M8">
        <v>5660</v>
      </c>
      <c r="N8">
        <v>3052968</v>
      </c>
      <c r="O8">
        <v>3207180</v>
      </c>
      <c r="P8">
        <v>3313296</v>
      </c>
      <c r="Q8">
        <v>3291360</v>
      </c>
      <c r="R8">
        <v>22392</v>
      </c>
      <c r="S8">
        <v>23900</v>
      </c>
      <c r="T8">
        <v>28072</v>
      </c>
      <c r="U8">
        <v>25240</v>
      </c>
      <c r="V8">
        <v>29416</v>
      </c>
      <c r="W8">
        <v>29120</v>
      </c>
      <c r="X8">
        <v>36264</v>
      </c>
      <c r="Y8">
        <v>30880</v>
      </c>
    </row>
    <row r="9" spans="1:25" x14ac:dyDescent="0.35">
      <c r="A9">
        <v>264</v>
      </c>
      <c r="B9">
        <v>3030120</v>
      </c>
      <c r="C9">
        <v>2993960</v>
      </c>
      <c r="D9">
        <v>2793296</v>
      </c>
      <c r="E9">
        <v>2903980</v>
      </c>
      <c r="F9">
        <v>3033664</v>
      </c>
      <c r="G9">
        <v>2994900</v>
      </c>
      <c r="H9">
        <v>2794680</v>
      </c>
      <c r="I9">
        <v>2902860</v>
      </c>
      <c r="J9">
        <v>4504</v>
      </c>
      <c r="K9">
        <v>1700</v>
      </c>
      <c r="L9">
        <v>4016</v>
      </c>
      <c r="M9">
        <v>1660</v>
      </c>
      <c r="N9">
        <v>3281304</v>
      </c>
      <c r="O9">
        <v>3284520</v>
      </c>
      <c r="P9">
        <v>3275560</v>
      </c>
      <c r="Q9">
        <v>3488580</v>
      </c>
      <c r="R9">
        <v>24680</v>
      </c>
      <c r="S9">
        <v>26180</v>
      </c>
      <c r="T9">
        <v>22568</v>
      </c>
      <c r="U9">
        <v>25040</v>
      </c>
      <c r="V9">
        <v>28104</v>
      </c>
      <c r="W9">
        <v>26900</v>
      </c>
      <c r="X9">
        <v>26352</v>
      </c>
      <c r="Y9">
        <v>26300</v>
      </c>
    </row>
    <row r="11" spans="1:25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5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5" x14ac:dyDescent="0.35">
      <c r="A13" s="2">
        <v>0</v>
      </c>
      <c r="B13" s="2">
        <f>AVERAGE(B2:E2)</f>
        <v>758419.5</v>
      </c>
      <c r="C13" s="2">
        <f>_xlfn.STDEV.S(B2:E2)</f>
        <v>47120.266959487119</v>
      </c>
      <c r="F13" s="2">
        <f t="shared" ref="F13:F20" si="0">AVERAGE(F2:I2)</f>
        <v>758759</v>
      </c>
      <c r="G13" s="2">
        <f t="shared" ref="G13:G20" si="1">_xlfn.STDEV.S(F2:I2)</f>
        <v>46967.667928764211</v>
      </c>
      <c r="J13" s="2">
        <f t="shared" ref="J13:J20" si="2">AVERAGE(J2:M2)</f>
        <v>339.5</v>
      </c>
      <c r="K13" s="2">
        <f t="shared" ref="K13:K20" si="3">_xlfn.STDEV.S(J2:M2)</f>
        <v>172.73003985024337</v>
      </c>
      <c r="N13" s="2">
        <f t="shared" ref="N13:N20" si="4">AVERAGE(N2:Q2)</f>
        <v>773364.5</v>
      </c>
      <c r="O13" s="2">
        <f>_xlfn.STDEV.S(N2:Q2)</f>
        <v>49923.09494612689</v>
      </c>
      <c r="R13" s="2">
        <f>AVERAGE(R2:U2)</f>
        <v>3186</v>
      </c>
      <c r="S13" s="2">
        <f>_xlfn.STDEV.S(R2:U2)</f>
        <v>414.54553429026345</v>
      </c>
      <c r="V13" s="2">
        <f>AVERAGE(V2:Y2)</f>
        <v>3525</v>
      </c>
      <c r="W13" s="2">
        <f>_xlfn.STDEV.S(V2:Y2)</f>
        <v>583.18779136741193</v>
      </c>
    </row>
    <row r="14" spans="1:25" x14ac:dyDescent="0.35">
      <c r="A14" s="2">
        <v>24</v>
      </c>
      <c r="B14" s="2">
        <f>AVERAGE(B3:E3)</f>
        <v>1405459.5</v>
      </c>
      <c r="C14" s="2">
        <f t="shared" ref="C14:C20" si="5">_xlfn.STDEV.S(B3:E3)</f>
        <v>189012.21391486848</v>
      </c>
      <c r="F14" s="2">
        <f t="shared" si="0"/>
        <v>1407271.5</v>
      </c>
      <c r="G14" s="2">
        <f t="shared" si="1"/>
        <v>188588.77369468912</v>
      </c>
      <c r="J14" s="2">
        <f t="shared" si="2"/>
        <v>1815</v>
      </c>
      <c r="K14" s="2">
        <f t="shared" si="3"/>
        <v>727.45309127118298</v>
      </c>
      <c r="N14" s="2">
        <f t="shared" si="4"/>
        <v>1424456</v>
      </c>
      <c r="O14" s="2">
        <f t="shared" ref="O14:O20" si="6">_xlfn.STDEV.S(N3:Q3)</f>
        <v>192200.74075472931</v>
      </c>
      <c r="R14" s="2">
        <f t="shared" ref="R14:R20" si="7">AVERAGE(R3:U3)</f>
        <v>7945</v>
      </c>
      <c r="S14" s="2">
        <f t="shared" ref="S14:S20" si="8">_xlfn.STDEV.S(R3:U3)</f>
        <v>475.32304804206581</v>
      </c>
      <c r="V14" s="2">
        <f t="shared" ref="V14:V20" si="9">AVERAGE(V3:Y3)</f>
        <v>9759</v>
      </c>
      <c r="W14" s="2">
        <f t="shared" ref="W14:W20" si="10">_xlfn.STDEV.S(V3:Y3)</f>
        <v>637.00654104438627</v>
      </c>
    </row>
    <row r="15" spans="1:25" x14ac:dyDescent="0.35">
      <c r="A15" s="2">
        <v>46</v>
      </c>
      <c r="B15" s="2">
        <f t="shared" ref="B15:B20" si="11">AVERAGE(B4:E4)</f>
        <v>2020766</v>
      </c>
      <c r="C15" s="2">
        <f t="shared" si="5"/>
        <v>204151.88587585141</v>
      </c>
      <c r="F15" s="2">
        <f t="shared" si="0"/>
        <v>2023272</v>
      </c>
      <c r="G15" s="2">
        <f t="shared" si="1"/>
        <v>204262.10933993608</v>
      </c>
      <c r="J15" s="2">
        <f t="shared" si="2"/>
        <v>2508</v>
      </c>
      <c r="K15" s="2">
        <f t="shared" si="3"/>
        <v>807.15467332269509</v>
      </c>
      <c r="N15" s="2">
        <f t="shared" si="4"/>
        <v>2056591</v>
      </c>
      <c r="O15" s="2">
        <f t="shared" si="6"/>
        <v>214503.66474880252</v>
      </c>
      <c r="R15" s="2">
        <f t="shared" si="7"/>
        <v>16225</v>
      </c>
      <c r="S15" s="2">
        <f t="shared" si="8"/>
        <v>3331.6140232625989</v>
      </c>
      <c r="V15" s="2">
        <f t="shared" si="9"/>
        <v>18731</v>
      </c>
      <c r="W15" s="2">
        <f t="shared" si="10"/>
        <v>3190.956178535414</v>
      </c>
    </row>
    <row r="16" spans="1:25" x14ac:dyDescent="0.35">
      <c r="A16" s="2">
        <v>70</v>
      </c>
      <c r="B16" s="2">
        <f t="shared" si="11"/>
        <v>2461099</v>
      </c>
      <c r="C16" s="2">
        <f t="shared" si="5"/>
        <v>303703.30186987872</v>
      </c>
      <c r="F16" s="2">
        <f t="shared" si="0"/>
        <v>2464910</v>
      </c>
      <c r="G16" s="2">
        <f t="shared" si="1"/>
        <v>303575.69830713834</v>
      </c>
      <c r="J16" s="2">
        <f t="shared" si="2"/>
        <v>3816</v>
      </c>
      <c r="K16" s="2">
        <f t="shared" si="3"/>
        <v>1425.4225104625411</v>
      </c>
      <c r="N16" s="2">
        <f t="shared" si="4"/>
        <v>2506384</v>
      </c>
      <c r="O16" s="2">
        <f t="shared" si="6"/>
        <v>309628.61667918658</v>
      </c>
      <c r="R16" s="2">
        <f t="shared" si="7"/>
        <v>19081</v>
      </c>
      <c r="S16" s="2">
        <f t="shared" si="8"/>
        <v>1793.9702710282947</v>
      </c>
      <c r="V16" s="2">
        <f t="shared" si="9"/>
        <v>22890</v>
      </c>
      <c r="W16" s="2">
        <f t="shared" si="10"/>
        <v>2507.789464847478</v>
      </c>
    </row>
    <row r="17" spans="1:25" x14ac:dyDescent="0.35">
      <c r="A17" s="2">
        <v>96</v>
      </c>
      <c r="B17" s="2">
        <f t="shared" si="11"/>
        <v>3140045</v>
      </c>
      <c r="C17" s="2">
        <f t="shared" si="5"/>
        <v>190465.98893940792</v>
      </c>
      <c r="F17" s="2">
        <f t="shared" si="0"/>
        <v>3142663</v>
      </c>
      <c r="G17" s="2">
        <f t="shared" si="1"/>
        <v>190288.58079944435</v>
      </c>
      <c r="J17" s="2">
        <f t="shared" si="2"/>
        <v>2634</v>
      </c>
      <c r="K17" s="2">
        <f t="shared" si="3"/>
        <v>847.17884770572505</v>
      </c>
      <c r="N17" s="2">
        <f t="shared" si="4"/>
        <v>3251819</v>
      </c>
      <c r="O17" s="2">
        <f t="shared" si="6"/>
        <v>228078.85142643104</v>
      </c>
      <c r="R17" s="2">
        <f t="shared" si="7"/>
        <v>24551</v>
      </c>
      <c r="S17" s="2">
        <f t="shared" si="8"/>
        <v>4634.5489532423753</v>
      </c>
      <c r="V17" s="2">
        <f t="shared" si="9"/>
        <v>27174</v>
      </c>
      <c r="W17" s="2">
        <f t="shared" si="10"/>
        <v>4194.3574795988325</v>
      </c>
    </row>
    <row r="18" spans="1:25" x14ac:dyDescent="0.35">
      <c r="A18" s="2">
        <v>120</v>
      </c>
      <c r="B18" s="2">
        <f t="shared" si="11"/>
        <v>3089550</v>
      </c>
      <c r="C18" s="2">
        <f t="shared" si="5"/>
        <v>122946.60358600125</v>
      </c>
      <c r="F18" s="2">
        <f t="shared" si="0"/>
        <v>3092357</v>
      </c>
      <c r="G18" s="2">
        <f t="shared" si="1"/>
        <v>122747.96427911408</v>
      </c>
      <c r="J18" s="2">
        <f t="shared" si="2"/>
        <v>2822</v>
      </c>
      <c r="K18" s="2">
        <f t="shared" si="3"/>
        <v>1461.7669672922104</v>
      </c>
      <c r="N18" s="2">
        <f t="shared" si="4"/>
        <v>3189705</v>
      </c>
      <c r="O18" s="2">
        <f t="shared" si="6"/>
        <v>154757.80856120531</v>
      </c>
      <c r="R18" s="2">
        <f t="shared" si="7"/>
        <v>24544</v>
      </c>
      <c r="S18" s="2">
        <f t="shared" si="8"/>
        <v>2743.4596163724859</v>
      </c>
      <c r="V18" s="2">
        <f t="shared" si="9"/>
        <v>27354</v>
      </c>
      <c r="W18" s="2">
        <f t="shared" si="10"/>
        <v>3122.039504341139</v>
      </c>
    </row>
    <row r="19" spans="1:25" x14ac:dyDescent="0.35">
      <c r="A19" s="2">
        <v>168</v>
      </c>
      <c r="B19" s="2">
        <f t="shared" si="11"/>
        <v>3079023</v>
      </c>
      <c r="C19" s="2">
        <f t="shared" si="5"/>
        <v>101952.29694322732</v>
      </c>
      <c r="F19" s="2">
        <f t="shared" si="0"/>
        <v>3085472</v>
      </c>
      <c r="G19" s="2">
        <f t="shared" si="1"/>
        <v>102597.68974656951</v>
      </c>
      <c r="J19" s="2">
        <f t="shared" si="2"/>
        <v>6534</v>
      </c>
      <c r="K19" s="2">
        <f t="shared" si="3"/>
        <v>1363.284269695796</v>
      </c>
      <c r="N19" s="2">
        <f t="shared" si="4"/>
        <v>3216201</v>
      </c>
      <c r="O19" s="2">
        <f t="shared" si="6"/>
        <v>118043.36072816633</v>
      </c>
      <c r="R19" s="2">
        <f t="shared" si="7"/>
        <v>24901</v>
      </c>
      <c r="S19" s="2">
        <f t="shared" si="8"/>
        <v>2412.9680202328973</v>
      </c>
      <c r="V19" s="2">
        <f t="shared" si="9"/>
        <v>31420</v>
      </c>
      <c r="W19" s="2">
        <f t="shared" si="10"/>
        <v>3319.7365357309104</v>
      </c>
    </row>
    <row r="20" spans="1:25" x14ac:dyDescent="0.35">
      <c r="A20" s="2">
        <v>264</v>
      </c>
      <c r="B20" s="2">
        <f t="shared" si="11"/>
        <v>2930339</v>
      </c>
      <c r="C20" s="2">
        <f t="shared" si="5"/>
        <v>105640.04974755865</v>
      </c>
      <c r="F20" s="2">
        <f t="shared" si="0"/>
        <v>2931526</v>
      </c>
      <c r="G20" s="2">
        <f t="shared" si="1"/>
        <v>106453.43613054488</v>
      </c>
      <c r="J20" s="2">
        <f t="shared" si="2"/>
        <v>2970</v>
      </c>
      <c r="K20" s="2">
        <f t="shared" si="3"/>
        <v>1502.9162762221099</v>
      </c>
      <c r="N20" s="2">
        <f t="shared" si="4"/>
        <v>3332491</v>
      </c>
      <c r="O20" s="2">
        <f t="shared" si="6"/>
        <v>104125.30991070326</v>
      </c>
      <c r="R20" s="2">
        <f t="shared" si="7"/>
        <v>24617</v>
      </c>
      <c r="S20" s="2">
        <f t="shared" si="8"/>
        <v>1508.229425518545</v>
      </c>
      <c r="V20" s="2">
        <f t="shared" si="9"/>
        <v>26914</v>
      </c>
      <c r="W20" s="2">
        <f t="shared" si="10"/>
        <v>838.47798619482751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26.967082426478431</v>
      </c>
      <c r="C24" s="1">
        <f t="shared" ref="C24:C30" si="13">($A14-$A$13)/(1/LOG(2)*LOG(B14/B$13))</f>
        <v>26.967082426478431</v>
      </c>
      <c r="D24">
        <f>(B14/B13)^(1/($A14-$A13))-1</f>
        <v>2.6036636974976934E-2</v>
      </c>
      <c r="E24">
        <f>(B14/B$13)^(1/($A14-$A$13))-1</f>
        <v>2.6036636974976934E-2</v>
      </c>
      <c r="F24" s="1">
        <f t="shared" ref="F24:F30" si="14">($A14-$A13)/(1/LOG(2)*LOG(F14/F13))</f>
        <v>26.930373053947971</v>
      </c>
      <c r="G24" s="1">
        <f t="shared" ref="G24:G30" si="15">($A14-$A$13)/(1/LOG(2)*LOG(F14/F$13))</f>
        <v>26.930373053947971</v>
      </c>
      <c r="H24">
        <f>(F14/F13)^(1/($A14-$A13))-1</f>
        <v>2.6072586782281526E-2</v>
      </c>
      <c r="I24">
        <f>(F14/F$13)^(1/($A14-$A$13))-1</f>
        <v>2.6072586782281526E-2</v>
      </c>
      <c r="J24" s="1">
        <f t="shared" ref="J24:J30" si="16">($A14-$A13)/(1/LOG(2)*LOG(J14/J13))</f>
        <v>9.9235634685760719</v>
      </c>
      <c r="K24" s="1">
        <f t="shared" ref="K24:K30" si="17">($A14-$A$13)/(1/LOG(2)*LOG(J14/J$13))</f>
        <v>9.9235634685760719</v>
      </c>
      <c r="L24">
        <f>(J14/J13)^(1/($A14-$A13))-1</f>
        <v>7.2345833665984127E-2</v>
      </c>
      <c r="M24">
        <f>(J14/J$13)^(1/($A14-$A$13))-1</f>
        <v>7.2345833665984127E-2</v>
      </c>
      <c r="N24" s="1">
        <f t="shared" ref="N24:N30" si="18">($A14-$A13)/(1/LOG(2)*LOG(N14/N13))</f>
        <v>27.235877983817591</v>
      </c>
      <c r="O24" s="1">
        <f t="shared" ref="O24:O30" si="19">($A14-$A$13)/(1/LOG(2)*LOG(N14/N$13))</f>
        <v>27.235877983817591</v>
      </c>
      <c r="P24">
        <f>(N14/N13)^(1/($A14-$A13))-1</f>
        <v>2.5776393415400722E-2</v>
      </c>
      <c r="Q24">
        <f>(N14/N$13)^(1/($A14-$A$13))-1</f>
        <v>2.5776393415400722E-2</v>
      </c>
      <c r="R24" s="1">
        <f t="shared" ref="R24:R30" si="20">($A14-$A13)/(1/LOG(2)*LOG(R14/R13))</f>
        <v>18.205251199017468</v>
      </c>
      <c r="S24" s="1">
        <f t="shared" ref="S24:S30" si="21">($A14-$A$13)/(1/LOG(2)*LOG(R14/R$13))</f>
        <v>18.205251199017468</v>
      </c>
      <c r="T24">
        <f>(R14/R13)^(1/($A14-$A13))-1</f>
        <v>3.8808127306323215E-2</v>
      </c>
      <c r="U24">
        <f>(R14/R$13)^(1/($A14-$A$13))-1</f>
        <v>3.8808127306323215E-2</v>
      </c>
      <c r="V24" s="1">
        <f t="shared" ref="V24:V30" si="22">($A14-$A13)/(1/LOG(2)*LOG(V14/V13))</f>
        <v>16.336420641418457</v>
      </c>
      <c r="W24" s="1">
        <f t="shared" ref="W24:W30" si="23">($A14-$A$13)/(1/LOG(2)*LOG(V14/V$13))</f>
        <v>16.336420641418457</v>
      </c>
      <c r="X24">
        <f>(V14/V13)^(1/($A14-$A13))-1</f>
        <v>4.3342563339009654E-2</v>
      </c>
      <c r="Y24">
        <f>(V14/V$13)^(1/($A14-$A$13))-1</f>
        <v>4.3342563339009654E-2</v>
      </c>
    </row>
    <row r="25" spans="1:25" x14ac:dyDescent="0.35">
      <c r="A25" s="2">
        <v>46</v>
      </c>
      <c r="B25" s="1">
        <f t="shared" si="12"/>
        <v>41.995921906033367</v>
      </c>
      <c r="C25" s="1">
        <f t="shared" si="13"/>
        <v>32.53563714394344</v>
      </c>
      <c r="D25">
        <f t="shared" ref="D25:D30" si="24">(B15/B14)^(1/($A15-$A14))-1</f>
        <v>1.6642068665490672E-2</v>
      </c>
      <c r="E25">
        <f t="shared" ref="E25:E30" si="25">(B15/B$13)^(1/($A15-$A$13))-1</f>
        <v>2.1532800472442437E-2</v>
      </c>
      <c r="F25" s="1">
        <f t="shared" si="14"/>
        <v>42.001598141878546</v>
      </c>
      <c r="G25" s="1">
        <f t="shared" si="15"/>
        <v>32.509370301853892</v>
      </c>
      <c r="H25">
        <f t="shared" ref="H25:H30" si="26">(F15/F14)^(1/($A15-$A14))-1</f>
        <v>1.6639800991856912E-2</v>
      </c>
      <c r="I25">
        <f t="shared" ref="I25:I30" si="27">(F15/F$13)^(1/($A15-$A$13))-1</f>
        <v>2.1550384627501362E-2</v>
      </c>
      <c r="J25" s="1">
        <f t="shared" si="16"/>
        <v>47.152846818453554</v>
      </c>
      <c r="K25" s="1">
        <f t="shared" si="17"/>
        <v>15.944243017896454</v>
      </c>
      <c r="L25">
        <f t="shared" ref="L25:L30" si="28">(J15/J14)^(1/($A15-$A14))-1</f>
        <v>1.4808583524126728E-2</v>
      </c>
      <c r="M25">
        <f>(J15/J$13)^(1/($A15-$A$13))-1</f>
        <v>4.4431997590941963E-2</v>
      </c>
      <c r="N25" s="1">
        <f t="shared" si="18"/>
        <v>41.521667136221133</v>
      </c>
      <c r="O25" s="1">
        <f t="shared" si="19"/>
        <v>32.600195959085077</v>
      </c>
      <c r="P25">
        <f t="shared" ref="P25:P30" si="29">(N15/N14)^(1/($A15-$A14))-1</f>
        <v>1.6833743139625934E-2</v>
      </c>
      <c r="Q25">
        <f t="shared" ref="Q25:Q30" si="30">(N15/N$13)^(1/($A15-$A$13))-1</f>
        <v>2.1489703710547703E-2</v>
      </c>
      <c r="R25" s="1">
        <f t="shared" si="20"/>
        <v>21.357163194442112</v>
      </c>
      <c r="S25" s="1">
        <f t="shared" si="21"/>
        <v>19.587801908220065</v>
      </c>
      <c r="T25">
        <f t="shared" ref="T25:T30" si="31">(R15/R14)^(1/($A15-$A14))-1</f>
        <v>3.298742938568977E-2</v>
      </c>
      <c r="U25">
        <f t="shared" ref="U25:U30" si="32">(R15/R$13)^(1/($A15-$A$13))-1</f>
        <v>3.6020234506993098E-2</v>
      </c>
      <c r="V25" s="1">
        <f t="shared" si="22"/>
        <v>23.388761627875358</v>
      </c>
      <c r="W25" s="1">
        <f t="shared" si="23"/>
        <v>19.089253691675648</v>
      </c>
      <c r="X25">
        <f t="shared" ref="X25:X30" si="33">(V15/V14)^(1/($A15-$A14))-1</f>
        <v>3.0079421672594586E-2</v>
      </c>
      <c r="Y25">
        <f t="shared" ref="Y25:Y30" si="34">(V15/V$13)^(1/($A15-$A$13))-1</f>
        <v>3.6978149370326729E-2</v>
      </c>
    </row>
    <row r="26" spans="1:25" x14ac:dyDescent="0.35">
      <c r="A26" s="2">
        <v>70</v>
      </c>
      <c r="B26" s="1">
        <f t="shared" si="12"/>
        <v>84.388060420800969</v>
      </c>
      <c r="C26" s="1">
        <f t="shared" si="13"/>
        <v>41.219272456909543</v>
      </c>
      <c r="D26">
        <f t="shared" si="24"/>
        <v>8.2476321354132409E-3</v>
      </c>
      <c r="E26">
        <f t="shared" si="25"/>
        <v>1.6958280898345945E-2</v>
      </c>
      <c r="F26" s="1">
        <f t="shared" si="14"/>
        <v>84.256442080661643</v>
      </c>
      <c r="G26" s="1">
        <f t="shared" si="15"/>
        <v>41.180798396897998</v>
      </c>
      <c r="H26">
        <f t="shared" si="26"/>
        <v>8.2605689616910283E-3</v>
      </c>
      <c r="I26">
        <f t="shared" si="27"/>
        <v>1.6974258255501251E-2</v>
      </c>
      <c r="J26" s="1">
        <f t="shared" si="16"/>
        <v>39.635104483635395</v>
      </c>
      <c r="K26" s="1">
        <f t="shared" si="17"/>
        <v>20.053987099393094</v>
      </c>
      <c r="L26">
        <f t="shared" si="28"/>
        <v>1.7642027931299875E-2</v>
      </c>
      <c r="M26">
        <f>(J16/J$13)^(1/($A16-$A$13))-1</f>
        <v>3.5168337443750142E-2</v>
      </c>
      <c r="N26" s="1">
        <f t="shared" si="18"/>
        <v>84.106483489103084</v>
      </c>
      <c r="O26" s="1">
        <f t="shared" si="19"/>
        <v>41.264168632517581</v>
      </c>
      <c r="P26">
        <f t="shared" si="29"/>
        <v>8.2753580087382428E-3</v>
      </c>
      <c r="Q26">
        <f t="shared" si="30"/>
        <v>1.6939674575530139E-2</v>
      </c>
      <c r="R26" s="1">
        <f t="shared" si="20"/>
        <v>102.5999230537083</v>
      </c>
      <c r="S26" s="1">
        <f t="shared" si="21"/>
        <v>27.107421880428461</v>
      </c>
      <c r="T26">
        <f t="shared" si="31"/>
        <v>6.778697606835804E-3</v>
      </c>
      <c r="U26">
        <f t="shared" si="32"/>
        <v>2.590011044918028E-2</v>
      </c>
      <c r="V26" s="1">
        <f t="shared" si="22"/>
        <v>82.961865969221449</v>
      </c>
      <c r="W26" s="1">
        <f t="shared" si="23"/>
        <v>25.935317389933992</v>
      </c>
      <c r="X26">
        <f t="shared" si="33"/>
        <v>8.3900100278122558E-3</v>
      </c>
      <c r="Y26">
        <f t="shared" si="34"/>
        <v>2.7086338111800501E-2</v>
      </c>
    </row>
    <row r="27" spans="1:25" x14ac:dyDescent="0.35">
      <c r="A27" s="2">
        <v>96</v>
      </c>
      <c r="B27" s="1">
        <f t="shared" si="12"/>
        <v>73.972379582280084</v>
      </c>
      <c r="C27" s="1">
        <f t="shared" si="13"/>
        <v>46.835727715150966</v>
      </c>
      <c r="D27">
        <f t="shared" si="24"/>
        <v>9.4143904526944322E-3</v>
      </c>
      <c r="E27">
        <f t="shared" si="25"/>
        <v>1.4909594465944975E-2</v>
      </c>
      <c r="F27" s="1">
        <f t="shared" si="14"/>
        <v>74.189775577724092</v>
      </c>
      <c r="G27" s="1">
        <f t="shared" si="15"/>
        <v>46.823011241236223</v>
      </c>
      <c r="H27">
        <f t="shared" si="26"/>
        <v>9.3866746868513928E-3</v>
      </c>
      <c r="I27">
        <f t="shared" si="27"/>
        <v>1.4913673748460754E-2</v>
      </c>
      <c r="J27" s="1">
        <f t="shared" si="16"/>
        <v>-48.615775573474586</v>
      </c>
      <c r="K27" s="1">
        <f t="shared" si="17"/>
        <v>32.478825955378156</v>
      </c>
      <c r="L27">
        <f t="shared" si="28"/>
        <v>-1.4156500531224636E-2</v>
      </c>
      <c r="M27">
        <f t="shared" ref="M27:M30" si="35">(J17/J$13)^(1/($A17-$A$13))-1</f>
        <v>2.1570868476463279E-2</v>
      </c>
      <c r="N27" s="1">
        <f t="shared" si="18"/>
        <v>69.215299568353103</v>
      </c>
      <c r="O27" s="1">
        <f t="shared" si="19"/>
        <v>46.331453526053672</v>
      </c>
      <c r="P27">
        <f t="shared" si="29"/>
        <v>1.0064675203307338E-2</v>
      </c>
      <c r="Q27">
        <f t="shared" si="30"/>
        <v>1.5073088285299852E-2</v>
      </c>
      <c r="R27" s="1">
        <f t="shared" si="20"/>
        <v>71.498300614598676</v>
      </c>
      <c r="S27" s="1">
        <f t="shared" si="21"/>
        <v>32.586960493222186</v>
      </c>
      <c r="T27">
        <f t="shared" si="31"/>
        <v>9.7417414075295916E-3</v>
      </c>
      <c r="U27">
        <f t="shared" si="32"/>
        <v>2.1498525089869158E-2</v>
      </c>
      <c r="V27" s="1">
        <f t="shared" si="22"/>
        <v>105.04648046381423</v>
      </c>
      <c r="W27" s="1">
        <f t="shared" si="23"/>
        <v>32.580676905294929</v>
      </c>
      <c r="X27">
        <f t="shared" si="33"/>
        <v>6.6202986991881208E-3</v>
      </c>
      <c r="Y27">
        <f t="shared" si="34"/>
        <v>2.1502715609072576E-2</v>
      </c>
    </row>
    <row r="28" spans="1:25" x14ac:dyDescent="0.35">
      <c r="A28" s="2">
        <v>120</v>
      </c>
      <c r="B28" s="1">
        <f t="shared" si="12"/>
        <v>-1026.1447607777345</v>
      </c>
      <c r="C28" s="1">
        <f t="shared" si="13"/>
        <v>59.220400203440384</v>
      </c>
      <c r="D28">
        <f t="shared" si="24"/>
        <v>-6.7525865149142827E-4</v>
      </c>
      <c r="E28">
        <f t="shared" si="25"/>
        <v>1.1773299966304052E-2</v>
      </c>
      <c r="F28" s="1">
        <f t="shared" si="14"/>
        <v>-1030.8971700478007</v>
      </c>
      <c r="G28" s="1">
        <f t="shared" si="15"/>
        <v>59.200986396330443</v>
      </c>
      <c r="H28">
        <f t="shared" si="26"/>
        <v>-6.7214677299276548E-4</v>
      </c>
      <c r="I28">
        <f t="shared" si="27"/>
        <v>1.17771834361593E-2</v>
      </c>
      <c r="J28" s="1">
        <f t="shared" si="16"/>
        <v>241.29662590078999</v>
      </c>
      <c r="K28" s="1">
        <f t="shared" si="17"/>
        <v>39.276854091539889</v>
      </c>
      <c r="L28">
        <f t="shared" si="28"/>
        <v>2.876723605517828E-3</v>
      </c>
      <c r="M28">
        <f t="shared" si="35"/>
        <v>1.780436776832417E-2</v>
      </c>
      <c r="N28" s="1">
        <f t="shared" si="18"/>
        <v>-862.56608344163305</v>
      </c>
      <c r="O28" s="1">
        <f t="shared" si="19"/>
        <v>58.702597574871703</v>
      </c>
      <c r="P28">
        <f t="shared" si="29"/>
        <v>-8.0326454552070992E-4</v>
      </c>
      <c r="Q28">
        <f t="shared" si="30"/>
        <v>1.1877763975228994E-2</v>
      </c>
      <c r="R28" s="1">
        <f t="shared" si="20"/>
        <v>-58337.246741124822</v>
      </c>
      <c r="S28" s="1">
        <f t="shared" si="21"/>
        <v>40.739389832942486</v>
      </c>
      <c r="T28">
        <f t="shared" si="31"/>
        <v>-1.1881655398671143E-5</v>
      </c>
      <c r="U28">
        <f t="shared" si="32"/>
        <v>1.7159742273739509E-2</v>
      </c>
      <c r="V28" s="1">
        <f t="shared" si="22"/>
        <v>2519.7194782733486</v>
      </c>
      <c r="W28" s="1">
        <f t="shared" si="23"/>
        <v>40.594621182942973</v>
      </c>
      <c r="X28">
        <f t="shared" si="33"/>
        <v>2.7512686784070262E-4</v>
      </c>
      <c r="Y28">
        <f t="shared" si="34"/>
        <v>1.7221461334898214E-2</v>
      </c>
    </row>
    <row r="29" spans="1:25" x14ac:dyDescent="0.35">
      <c r="A29" s="2">
        <v>168</v>
      </c>
      <c r="B29" s="1">
        <f t="shared" si="12"/>
        <v>-9748.0189963050561</v>
      </c>
      <c r="C29" s="1">
        <f t="shared" si="13"/>
        <v>83.110522896046035</v>
      </c>
      <c r="D29">
        <f t="shared" si="24"/>
        <v>-7.1103937916316973E-5</v>
      </c>
      <c r="E29">
        <f t="shared" si="25"/>
        <v>8.374940439963563E-3</v>
      </c>
      <c r="F29" s="1">
        <f t="shared" si="14"/>
        <v>-14926.860062618263</v>
      </c>
      <c r="G29" s="1">
        <f t="shared" si="15"/>
        <v>83.013075254084782</v>
      </c>
      <c r="H29">
        <f t="shared" si="26"/>
        <v>-4.6435156779711662E-5</v>
      </c>
      <c r="I29">
        <f t="shared" si="27"/>
        <v>8.3848127423287178E-3</v>
      </c>
      <c r="J29" s="1">
        <f t="shared" si="16"/>
        <v>39.628533132590469</v>
      </c>
      <c r="K29" s="1">
        <f t="shared" si="17"/>
        <v>39.376695272617908</v>
      </c>
      <c r="L29">
        <f t="shared" si="28"/>
        <v>1.7644979057549914E-2</v>
      </c>
      <c r="M29">
        <f t="shared" si="35"/>
        <v>1.7758825589471172E-2</v>
      </c>
      <c r="N29" s="1">
        <f t="shared" si="18"/>
        <v>4021.9296752871651</v>
      </c>
      <c r="O29" s="1">
        <f t="shared" si="19"/>
        <v>81.706612807975418</v>
      </c>
      <c r="P29">
        <f t="shared" si="29"/>
        <v>1.7235679614624466E-4</v>
      </c>
      <c r="Q29">
        <f t="shared" si="30"/>
        <v>8.5194527011096532E-3</v>
      </c>
      <c r="R29" s="1">
        <f t="shared" si="20"/>
        <v>2304.0044897121488</v>
      </c>
      <c r="S29" s="1">
        <f t="shared" si="21"/>
        <v>56.634580875104973</v>
      </c>
      <c r="T29">
        <f t="shared" si="31"/>
        <v>3.0088980246611996E-4</v>
      </c>
      <c r="U29">
        <f t="shared" si="32"/>
        <v>1.2314141298454873E-2</v>
      </c>
      <c r="V29" s="1">
        <f t="shared" si="22"/>
        <v>240.08238955902652</v>
      </c>
      <c r="W29" s="1">
        <f t="shared" si="23"/>
        <v>53.232141263336061</v>
      </c>
      <c r="X29">
        <f t="shared" si="33"/>
        <v>2.8912938835923274E-3</v>
      </c>
      <c r="Y29">
        <f t="shared" si="34"/>
        <v>1.3106360644961068E-2</v>
      </c>
    </row>
    <row r="30" spans="1:25" x14ac:dyDescent="0.35">
      <c r="A30" s="2">
        <v>264</v>
      </c>
      <c r="B30" s="1">
        <f t="shared" si="12"/>
        <v>-1344.4423503482851</v>
      </c>
      <c r="C30" s="1">
        <f t="shared" si="13"/>
        <v>135.38464240374418</v>
      </c>
      <c r="D30">
        <f t="shared" si="24"/>
        <v>-5.1543194093262024E-4</v>
      </c>
      <c r="E30">
        <f t="shared" si="25"/>
        <v>5.132964864369427E-3</v>
      </c>
      <c r="F30" s="1">
        <f t="shared" si="14"/>
        <v>-1300.1197818895207</v>
      </c>
      <c r="G30" s="1">
        <f t="shared" si="15"/>
        <v>135.38890456571127</v>
      </c>
      <c r="H30">
        <f t="shared" si="26"/>
        <v>-5.3299892090652445E-4</v>
      </c>
      <c r="I30">
        <f t="shared" si="27"/>
        <v>5.1328028601167475E-3</v>
      </c>
      <c r="J30" s="1">
        <f t="shared" si="16"/>
        <v>-84.395342955530339</v>
      </c>
      <c r="K30" s="1">
        <f t="shared" si="17"/>
        <v>84.372557920831653</v>
      </c>
      <c r="L30">
        <f t="shared" si="28"/>
        <v>-8.1794621649199373E-3</v>
      </c>
      <c r="M30">
        <f t="shared" si="35"/>
        <v>8.249153777520668E-3</v>
      </c>
      <c r="N30" s="1">
        <f t="shared" si="18"/>
        <v>1873.4117376627098</v>
      </c>
      <c r="O30" s="1">
        <f t="shared" si="19"/>
        <v>125.274005301136</v>
      </c>
      <c r="P30">
        <f t="shared" si="29"/>
        <v>3.7006036199205283E-4</v>
      </c>
      <c r="Q30">
        <f t="shared" si="30"/>
        <v>5.5483843523940202E-3</v>
      </c>
      <c r="R30" s="1">
        <f t="shared" si="20"/>
        <v>-5801.0511119848397</v>
      </c>
      <c r="S30" s="1">
        <f t="shared" si="21"/>
        <v>89.496477047232773</v>
      </c>
      <c r="T30">
        <f t="shared" si="31"/>
        <v>-1.1947934227274359E-4</v>
      </c>
      <c r="U30">
        <f t="shared" si="32"/>
        <v>7.7750359270472025E-3</v>
      </c>
      <c r="V30" s="1">
        <f t="shared" si="22"/>
        <v>-429.86417182446684</v>
      </c>
      <c r="W30" s="1">
        <f t="shared" si="23"/>
        <v>90.020612883895723</v>
      </c>
      <c r="X30">
        <f t="shared" si="33"/>
        <v>-1.6111801898989198E-3</v>
      </c>
      <c r="Y30">
        <f t="shared" si="34"/>
        <v>7.729592066938018E-3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7" s="3" customFormat="1" x14ac:dyDescent="0.35">
      <c r="A33" s="4">
        <v>0</v>
      </c>
      <c r="B33" s="5">
        <f>F13/V13</f>
        <v>215.25078014184396</v>
      </c>
      <c r="C33" s="5">
        <f>G13/W13</f>
        <v>80.5360959608537</v>
      </c>
      <c r="D33" s="5">
        <f>F13/(F13+V13)*100</f>
        <v>99.537573922580037</v>
      </c>
      <c r="E33" s="5">
        <f>V13/(F13+V13)*100</f>
        <v>0.46242607741996417</v>
      </c>
    </row>
    <row r="34" spans="1:7" s="3" customFormat="1" x14ac:dyDescent="0.35">
      <c r="A34" s="4">
        <v>24</v>
      </c>
      <c r="B34" s="5">
        <f t="shared" ref="B34:C40" si="36">F14/V14</f>
        <v>144.20242852751306</v>
      </c>
      <c r="C34" s="5">
        <f t="shared" si="36"/>
        <v>296.05468946283293</v>
      </c>
      <c r="D34" s="5">
        <f>F14/(F14+V14)*100</f>
        <v>99.311306284515396</v>
      </c>
      <c r="E34" s="5">
        <f>V14/(F14+V14)*100</f>
        <v>0.68869371548459968</v>
      </c>
    </row>
    <row r="35" spans="1:7" s="3" customFormat="1" x14ac:dyDescent="0.35">
      <c r="A35" s="4">
        <v>46</v>
      </c>
      <c r="B35" s="5">
        <f t="shared" si="36"/>
        <v>108.01729752816188</v>
      </c>
      <c r="C35" s="5">
        <f t="shared" si="36"/>
        <v>64.012821835017604</v>
      </c>
      <c r="D35" s="5">
        <f>F15/(F15+V15)*100</f>
        <v>99.082714374072907</v>
      </c>
      <c r="E35" s="5">
        <f>V15/(F15+V15)*100</f>
        <v>0.91728562592709229</v>
      </c>
    </row>
    <row r="36" spans="1:7" s="3" customFormat="1" x14ac:dyDescent="0.35">
      <c r="A36" s="4">
        <v>70</v>
      </c>
      <c r="B36" s="5">
        <f t="shared" si="36"/>
        <v>107.68501529051987</v>
      </c>
      <c r="C36" s="5">
        <f t="shared" si="36"/>
        <v>121.05310376427536</v>
      </c>
      <c r="D36" s="5">
        <f>F16/(F16+V16)*100</f>
        <v>99.079909960607765</v>
      </c>
      <c r="E36" s="5">
        <f>V16/(F16+V16)*100</f>
        <v>0.9200900393922341</v>
      </c>
    </row>
    <row r="37" spans="1:7" s="3" customFormat="1" x14ac:dyDescent="0.35">
      <c r="A37" s="4">
        <v>96</v>
      </c>
      <c r="B37" s="5">
        <f t="shared" si="36"/>
        <v>115.64962832118937</v>
      </c>
      <c r="C37" s="5">
        <f t="shared" si="36"/>
        <v>45.367754590542056</v>
      </c>
      <c r="D37" s="5">
        <f>F17/(F17+V17)*100</f>
        <v>99.142731944891807</v>
      </c>
      <c r="E37" s="5">
        <f>V17/(F17+V17)*100</f>
        <v>0.85726805510819637</v>
      </c>
    </row>
    <row r="38" spans="1:7" s="3" customFormat="1" x14ac:dyDescent="0.35">
      <c r="A38" s="4">
        <v>120</v>
      </c>
      <c r="B38" s="5">
        <f t="shared" si="36"/>
        <v>113.04953571689698</v>
      </c>
      <c r="C38" s="5">
        <f t="shared" si="36"/>
        <v>39.316595484597578</v>
      </c>
      <c r="D38" s="5">
        <f>F18/(F18+V18)*100</f>
        <v>99.123188013248665</v>
      </c>
      <c r="E38" s="5">
        <f>V18/(F18+V18)*100</f>
        <v>0.87681198675133698</v>
      </c>
    </row>
    <row r="39" spans="1:7" s="3" customFormat="1" x14ac:dyDescent="0.35">
      <c r="A39" s="4">
        <v>168</v>
      </c>
      <c r="B39" s="5">
        <f t="shared" si="36"/>
        <v>98.200891152132399</v>
      </c>
      <c r="C39" s="5">
        <f t="shared" si="36"/>
        <v>30.905371146864354</v>
      </c>
      <c r="D39" s="5">
        <f>F19/(F19+V19)*100</f>
        <v>98.991944539624726</v>
      </c>
      <c r="E39" s="5">
        <f>V19/(F19+V19)*100</f>
        <v>1.0080554603752714</v>
      </c>
    </row>
    <row r="40" spans="1:7" s="3" customFormat="1" x14ac:dyDescent="0.35">
      <c r="A40" s="4">
        <v>264</v>
      </c>
      <c r="B40" s="5">
        <f t="shared" si="36"/>
        <v>108.92197369398826</v>
      </c>
      <c r="C40" s="5">
        <f>G20/W20</f>
        <v>126.96032320854458</v>
      </c>
      <c r="D40" s="5">
        <f>F20/(F20+V20)*100</f>
        <v>99.090263787671887</v>
      </c>
      <c r="E40" s="5">
        <f>V20/(F20+V20)*100</f>
        <v>0.90973621232811885</v>
      </c>
    </row>
    <row r="41" spans="1:7" s="3" customFormat="1" x14ac:dyDescent="0.35"/>
    <row r="42" spans="1:7" s="3" customFormat="1" ht="43.5" x14ac:dyDescent="0.35">
      <c r="A42" s="3" t="s">
        <v>0</v>
      </c>
      <c r="B42" s="3" t="s">
        <v>56</v>
      </c>
      <c r="C42" s="3" t="s">
        <v>57</v>
      </c>
      <c r="D42" s="3" t="s">
        <v>58</v>
      </c>
      <c r="E42" s="3" t="s">
        <v>59</v>
      </c>
      <c r="F42" s="3" t="s">
        <v>60</v>
      </c>
      <c r="G42" s="3" t="s">
        <v>47</v>
      </c>
    </row>
    <row r="43" spans="1:7" s="3" customFormat="1" x14ac:dyDescent="0.35">
      <c r="A43" s="4">
        <v>0</v>
      </c>
      <c r="B43" s="5">
        <f>F2/V2</f>
        <v>175.36191378493604</v>
      </c>
      <c r="C43" s="5">
        <f t="shared" ref="C43:E50" si="37">G2/W2</f>
        <v>267.56763925729445</v>
      </c>
      <c r="D43" s="5">
        <f t="shared" si="37"/>
        <v>185.21108179419525</v>
      </c>
      <c r="E43" s="5">
        <f>I2/Y2</f>
        <v>255.76953125</v>
      </c>
      <c r="F43" s="5">
        <f>AVERAGE(B43:E43)</f>
        <v>220.97754152160644</v>
      </c>
      <c r="G43" s="5">
        <f>_xlfn.STDEV.S(B43:E43)</f>
        <v>47.403041011889378</v>
      </c>
    </row>
    <row r="44" spans="1:7" s="3" customFormat="1" x14ac:dyDescent="0.35">
      <c r="A44" s="4">
        <v>24</v>
      </c>
      <c r="B44" s="5">
        <f t="shared" ref="B44:B50" si="38">F3/V3</f>
        <v>124.47367359289893</v>
      </c>
      <c r="C44" s="5">
        <f t="shared" si="37"/>
        <v>154.83001808318264</v>
      </c>
      <c r="D44" s="5">
        <f t="shared" si="37"/>
        <v>130.59667118250437</v>
      </c>
      <c r="E44" s="5">
        <f t="shared" si="37"/>
        <v>168.5645875251509</v>
      </c>
      <c r="F44" s="5">
        <f t="shared" ref="F44:F50" si="39">AVERAGE(B44:E44)</f>
        <v>144.61623759593419</v>
      </c>
      <c r="G44" s="5">
        <f t="shared" ref="G44:G50" si="40">_xlfn.STDEV.S(B44:E44)</f>
        <v>20.656846348615026</v>
      </c>
    </row>
    <row r="45" spans="1:7" s="3" customFormat="1" x14ac:dyDescent="0.35">
      <c r="A45" s="4">
        <v>46</v>
      </c>
      <c r="B45" s="5">
        <f t="shared" si="38"/>
        <v>112.50397381954184</v>
      </c>
      <c r="C45" s="5">
        <f t="shared" si="37"/>
        <v>111.74919534538252</v>
      </c>
      <c r="D45" s="5">
        <f t="shared" si="37"/>
        <v>97.589506172839506</v>
      </c>
      <c r="E45" s="5">
        <f t="shared" si="37"/>
        <v>113.8112178088171</v>
      </c>
      <c r="F45" s="5">
        <f t="shared" si="39"/>
        <v>108.91347328664524</v>
      </c>
      <c r="G45" s="5">
        <f t="shared" si="40"/>
        <v>7.5972176106378626</v>
      </c>
    </row>
    <row r="46" spans="1:7" s="3" customFormat="1" x14ac:dyDescent="0.35">
      <c r="A46" s="4">
        <v>70</v>
      </c>
      <c r="B46" s="5">
        <f t="shared" si="38"/>
        <v>103.80252583237657</v>
      </c>
      <c r="C46" s="5">
        <f t="shared" si="37"/>
        <v>109.40254801293021</v>
      </c>
      <c r="D46" s="5">
        <f t="shared" si="37"/>
        <v>107.99623545516769</v>
      </c>
      <c r="E46" s="5">
        <f t="shared" si="37"/>
        <v>109.12360920591374</v>
      </c>
      <c r="F46" s="5">
        <f t="shared" si="39"/>
        <v>107.58122962659705</v>
      </c>
      <c r="G46" s="5">
        <f t="shared" si="40"/>
        <v>2.5914582531393515</v>
      </c>
    </row>
    <row r="47" spans="1:7" s="3" customFormat="1" x14ac:dyDescent="0.35">
      <c r="A47" s="4">
        <v>96</v>
      </c>
      <c r="B47" s="5">
        <f t="shared" si="38"/>
        <v>105.38767123287671</v>
      </c>
      <c r="C47" s="5">
        <f t="shared" si="37"/>
        <v>136.84065524944154</v>
      </c>
      <c r="D47" s="5">
        <f t="shared" si="37"/>
        <v>108.78397435897436</v>
      </c>
      <c r="E47" s="5">
        <f t="shared" si="37"/>
        <v>117.83199045061176</v>
      </c>
      <c r="F47" s="5">
        <f t="shared" si="39"/>
        <v>117.21107282297609</v>
      </c>
      <c r="G47" s="5">
        <f t="shared" si="40"/>
        <v>14.101003021303834</v>
      </c>
    </row>
    <row r="48" spans="1:7" s="3" customFormat="1" x14ac:dyDescent="0.35">
      <c r="A48" s="4">
        <v>120</v>
      </c>
      <c r="B48" s="5">
        <f t="shared" si="38"/>
        <v>121.92350993377484</v>
      </c>
      <c r="C48" s="5">
        <f t="shared" si="37"/>
        <v>117.5757341576507</v>
      </c>
      <c r="D48" s="5">
        <f t="shared" si="37"/>
        <v>100.55054749172396</v>
      </c>
      <c r="E48" s="5">
        <f t="shared" si="37"/>
        <v>115.23605150214593</v>
      </c>
      <c r="F48" s="5">
        <f t="shared" si="39"/>
        <v>113.82146077132386</v>
      </c>
      <c r="G48" s="5">
        <f t="shared" si="40"/>
        <v>9.2710297072914756</v>
      </c>
    </row>
    <row r="49" spans="1:7" s="3" customFormat="1" x14ac:dyDescent="0.35">
      <c r="A49" s="4">
        <v>168</v>
      </c>
      <c r="B49" s="5">
        <f t="shared" si="38"/>
        <v>101.29235790046233</v>
      </c>
      <c r="C49" s="5">
        <f t="shared" si="37"/>
        <v>104.42651098901099</v>
      </c>
      <c r="D49" s="5">
        <f t="shared" si="37"/>
        <v>88.797485109199201</v>
      </c>
      <c r="E49" s="5">
        <f t="shared" si="37"/>
        <v>100.42810880829016</v>
      </c>
      <c r="F49" s="5">
        <f t="shared" si="39"/>
        <v>98.736115701740673</v>
      </c>
      <c r="G49" s="5">
        <f t="shared" si="40"/>
        <v>6.844808042877605</v>
      </c>
    </row>
    <row r="50" spans="1:7" s="3" customFormat="1" x14ac:dyDescent="0.35">
      <c r="A50" s="4">
        <v>264</v>
      </c>
      <c r="B50" s="5">
        <f t="shared" si="38"/>
        <v>107.9442072302875</v>
      </c>
      <c r="C50" s="5">
        <f t="shared" si="37"/>
        <v>111.33457249070632</v>
      </c>
      <c r="D50" s="5">
        <f t="shared" si="37"/>
        <v>106.05191256830601</v>
      </c>
      <c r="E50" s="5">
        <f t="shared" si="37"/>
        <v>110.37490494296578</v>
      </c>
      <c r="F50" s="5">
        <f t="shared" si="39"/>
        <v>108.92639930806641</v>
      </c>
      <c r="G50" s="5">
        <f t="shared" si="40"/>
        <v>2.3892008389578936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944D-8839-432D-B78D-31F90798F970}">
  <dimension ref="A1:Y50"/>
  <sheetViews>
    <sheetView topLeftCell="A37" workbookViewId="0">
      <selection activeCell="F43" sqref="F43:G50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5</v>
      </c>
      <c r="S1" t="s">
        <v>5</v>
      </c>
      <c r="T1" t="s">
        <v>5</v>
      </c>
      <c r="U1" t="s">
        <v>5</v>
      </c>
      <c r="V1" t="s">
        <v>6</v>
      </c>
      <c r="W1" t="s">
        <v>6</v>
      </c>
      <c r="X1" t="s">
        <v>6</v>
      </c>
      <c r="Y1" t="s">
        <v>6</v>
      </c>
    </row>
    <row r="2" spans="1:25" x14ac:dyDescent="0.35">
      <c r="A2">
        <v>0</v>
      </c>
      <c r="B2">
        <v>718594</v>
      </c>
      <c r="C2">
        <v>762700</v>
      </c>
      <c r="D2">
        <v>688346</v>
      </c>
      <c r="E2">
        <v>778832</v>
      </c>
      <c r="F2">
        <v>718602</v>
      </c>
      <c r="G2">
        <v>762700</v>
      </c>
      <c r="H2">
        <v>688350</v>
      </c>
      <c r="I2">
        <v>778836</v>
      </c>
      <c r="J2">
        <v>10</v>
      </c>
      <c r="K2">
        <v>0</v>
      </c>
      <c r="L2">
        <v>4</v>
      </c>
      <c r="M2">
        <v>4</v>
      </c>
      <c r="N2">
        <v>726546</v>
      </c>
      <c r="O2">
        <v>783068</v>
      </c>
      <c r="P2">
        <v>695662</v>
      </c>
      <c r="Q2">
        <v>791412</v>
      </c>
      <c r="R2">
        <v>6</v>
      </c>
      <c r="S2">
        <v>4</v>
      </c>
      <c r="T2">
        <v>0</v>
      </c>
      <c r="U2">
        <v>8</v>
      </c>
      <c r="V2">
        <v>16</v>
      </c>
      <c r="W2">
        <v>4</v>
      </c>
      <c r="X2">
        <v>4</v>
      </c>
      <c r="Y2">
        <v>12</v>
      </c>
    </row>
    <row r="3" spans="1:25" x14ac:dyDescent="0.35">
      <c r="A3">
        <v>24</v>
      </c>
      <c r="B3">
        <v>1290746</v>
      </c>
      <c r="C3">
        <v>1455976</v>
      </c>
      <c r="D3">
        <v>1211738</v>
      </c>
      <c r="E3">
        <v>1442788</v>
      </c>
      <c r="F3">
        <v>1290816</v>
      </c>
      <c r="G3">
        <v>1456028</v>
      </c>
      <c r="H3">
        <v>1211786</v>
      </c>
      <c r="I3">
        <v>1442828</v>
      </c>
      <c r="J3">
        <v>70</v>
      </c>
      <c r="K3">
        <v>56</v>
      </c>
      <c r="L3">
        <v>50</v>
      </c>
      <c r="M3">
        <v>44</v>
      </c>
      <c r="N3">
        <v>1296546</v>
      </c>
      <c r="O3">
        <v>1471132</v>
      </c>
      <c r="P3">
        <v>1217822</v>
      </c>
      <c r="Q3">
        <v>1457796</v>
      </c>
      <c r="R3">
        <v>0</v>
      </c>
      <c r="S3">
        <v>4</v>
      </c>
      <c r="T3">
        <v>0</v>
      </c>
      <c r="U3">
        <v>8</v>
      </c>
      <c r="V3">
        <v>70</v>
      </c>
      <c r="W3">
        <v>56</v>
      </c>
      <c r="X3">
        <v>50</v>
      </c>
      <c r="Y3">
        <v>52</v>
      </c>
    </row>
    <row r="4" spans="1:25" x14ac:dyDescent="0.35">
      <c r="A4">
        <v>46</v>
      </c>
      <c r="B4">
        <v>2412888</v>
      </c>
      <c r="C4">
        <v>2033600</v>
      </c>
      <c r="D4">
        <v>2116568</v>
      </c>
      <c r="E4">
        <v>2006668</v>
      </c>
      <c r="F4">
        <v>2412960</v>
      </c>
      <c r="G4">
        <v>2033660</v>
      </c>
      <c r="H4">
        <v>2116640</v>
      </c>
      <c r="I4">
        <v>2006692</v>
      </c>
      <c r="J4">
        <v>72</v>
      </c>
      <c r="K4">
        <v>60</v>
      </c>
      <c r="L4">
        <v>80</v>
      </c>
      <c r="M4">
        <v>24</v>
      </c>
      <c r="N4">
        <v>2442944</v>
      </c>
      <c r="O4">
        <v>2042760</v>
      </c>
      <c r="P4">
        <v>2141048</v>
      </c>
      <c r="Q4">
        <v>2012696</v>
      </c>
      <c r="R4">
        <v>0</v>
      </c>
      <c r="S4">
        <v>0</v>
      </c>
      <c r="T4">
        <v>0</v>
      </c>
      <c r="U4">
        <v>0</v>
      </c>
      <c r="V4">
        <v>64</v>
      </c>
      <c r="W4">
        <v>48</v>
      </c>
      <c r="X4">
        <v>72</v>
      </c>
      <c r="Y4">
        <v>24</v>
      </c>
    </row>
    <row r="5" spans="1:25" x14ac:dyDescent="0.35">
      <c r="A5">
        <v>70</v>
      </c>
      <c r="B5">
        <v>2478556</v>
      </c>
      <c r="C5">
        <v>2856064</v>
      </c>
      <c r="D5">
        <v>2236500</v>
      </c>
      <c r="E5">
        <v>2668848</v>
      </c>
      <c r="F5">
        <v>2478628</v>
      </c>
      <c r="G5">
        <v>2856096</v>
      </c>
      <c r="H5">
        <v>2236512</v>
      </c>
      <c r="I5">
        <v>2668888</v>
      </c>
      <c r="J5">
        <v>48</v>
      </c>
      <c r="K5">
        <v>72</v>
      </c>
      <c r="L5">
        <v>20</v>
      </c>
      <c r="M5">
        <v>56</v>
      </c>
      <c r="N5">
        <v>2495388</v>
      </c>
      <c r="O5">
        <v>2891344</v>
      </c>
      <c r="P5">
        <v>2257300</v>
      </c>
      <c r="Q5">
        <v>2711536</v>
      </c>
      <c r="R5">
        <v>0</v>
      </c>
      <c r="S5">
        <v>0</v>
      </c>
      <c r="T5">
        <v>0</v>
      </c>
      <c r="U5">
        <v>8</v>
      </c>
      <c r="V5">
        <v>40</v>
      </c>
      <c r="W5">
        <v>64</v>
      </c>
      <c r="X5">
        <v>12</v>
      </c>
      <c r="Y5">
        <v>56</v>
      </c>
    </row>
    <row r="6" spans="1:25" x14ac:dyDescent="0.35">
      <c r="A6">
        <v>96</v>
      </c>
      <c r="B6">
        <v>4177880</v>
      </c>
      <c r="C6">
        <v>3978672</v>
      </c>
      <c r="D6">
        <v>3680460</v>
      </c>
      <c r="E6">
        <v>3445704</v>
      </c>
      <c r="F6">
        <v>4177900</v>
      </c>
      <c r="G6">
        <v>3978704</v>
      </c>
      <c r="H6">
        <v>3680500</v>
      </c>
      <c r="I6">
        <v>3445736</v>
      </c>
      <c r="J6">
        <v>20</v>
      </c>
      <c r="K6">
        <v>56</v>
      </c>
      <c r="L6">
        <v>40</v>
      </c>
      <c r="M6">
        <v>32</v>
      </c>
      <c r="N6">
        <v>4277880</v>
      </c>
      <c r="O6">
        <v>4020520</v>
      </c>
      <c r="P6">
        <v>3773740</v>
      </c>
      <c r="Q6">
        <v>3480840</v>
      </c>
      <c r="R6">
        <v>0</v>
      </c>
      <c r="S6">
        <v>16</v>
      </c>
      <c r="T6">
        <v>0</v>
      </c>
      <c r="U6">
        <v>0</v>
      </c>
      <c r="V6">
        <v>20</v>
      </c>
      <c r="W6">
        <v>56</v>
      </c>
      <c r="X6">
        <v>20</v>
      </c>
      <c r="Y6">
        <v>32</v>
      </c>
    </row>
    <row r="7" spans="1:25" x14ac:dyDescent="0.35">
      <c r="A7">
        <v>120</v>
      </c>
      <c r="B7">
        <v>3946096</v>
      </c>
      <c r="C7">
        <v>4250140</v>
      </c>
      <c r="D7">
        <v>3468232</v>
      </c>
      <c r="E7">
        <v>3672280</v>
      </c>
      <c r="F7">
        <v>3946024</v>
      </c>
      <c r="G7">
        <v>4250060</v>
      </c>
      <c r="H7">
        <v>3468264</v>
      </c>
      <c r="I7">
        <v>3672260</v>
      </c>
      <c r="J7">
        <v>40</v>
      </c>
      <c r="K7">
        <v>40</v>
      </c>
      <c r="L7">
        <v>48</v>
      </c>
      <c r="M7">
        <v>0</v>
      </c>
      <c r="N7">
        <v>3983808</v>
      </c>
      <c r="O7">
        <v>4396840</v>
      </c>
      <c r="P7">
        <v>3499576</v>
      </c>
      <c r="Q7">
        <v>3775580</v>
      </c>
      <c r="R7">
        <v>8</v>
      </c>
      <c r="S7">
        <v>20</v>
      </c>
      <c r="T7">
        <v>0</v>
      </c>
      <c r="U7">
        <v>0</v>
      </c>
      <c r="V7">
        <v>40</v>
      </c>
      <c r="W7">
        <v>60</v>
      </c>
      <c r="X7">
        <v>48</v>
      </c>
      <c r="Y7">
        <v>0</v>
      </c>
    </row>
    <row r="8" spans="1:25" x14ac:dyDescent="0.35">
      <c r="A8">
        <v>168</v>
      </c>
      <c r="B8">
        <v>1729088</v>
      </c>
      <c r="C8">
        <v>2050040</v>
      </c>
      <c r="D8">
        <v>3455144</v>
      </c>
      <c r="E8">
        <v>3750180</v>
      </c>
      <c r="F8" t="s">
        <v>7</v>
      </c>
      <c r="G8" t="s">
        <v>8</v>
      </c>
      <c r="H8">
        <v>3451376</v>
      </c>
      <c r="I8">
        <v>3746360</v>
      </c>
      <c r="J8">
        <v>328</v>
      </c>
      <c r="K8">
        <v>380</v>
      </c>
      <c r="L8">
        <v>344</v>
      </c>
      <c r="M8">
        <v>320</v>
      </c>
      <c r="N8">
        <v>4071176</v>
      </c>
      <c r="O8">
        <v>4570800</v>
      </c>
      <c r="P8">
        <v>3634648</v>
      </c>
      <c r="Q8">
        <v>3986900</v>
      </c>
      <c r="R8">
        <v>16</v>
      </c>
      <c r="S8">
        <v>20</v>
      </c>
      <c r="T8">
        <v>0</v>
      </c>
      <c r="U8">
        <v>0</v>
      </c>
      <c r="V8">
        <v>304</v>
      </c>
      <c r="W8">
        <v>380</v>
      </c>
      <c r="X8">
        <v>336</v>
      </c>
      <c r="Y8">
        <v>260</v>
      </c>
    </row>
    <row r="9" spans="1:25" x14ac:dyDescent="0.35">
      <c r="A9">
        <v>264</v>
      </c>
      <c r="B9">
        <v>244048</v>
      </c>
      <c r="C9">
        <v>276560</v>
      </c>
      <c r="D9">
        <v>1344504</v>
      </c>
      <c r="E9">
        <v>1298340</v>
      </c>
      <c r="F9" t="s">
        <v>9</v>
      </c>
      <c r="G9" t="s">
        <v>10</v>
      </c>
      <c r="H9">
        <v>1339464</v>
      </c>
      <c r="I9">
        <v>1293380</v>
      </c>
      <c r="J9">
        <v>216</v>
      </c>
      <c r="K9">
        <v>360</v>
      </c>
      <c r="L9">
        <v>80</v>
      </c>
      <c r="M9">
        <v>20</v>
      </c>
      <c r="N9">
        <v>1000552</v>
      </c>
      <c r="O9">
        <v>1189520</v>
      </c>
      <c r="P9">
        <v>3524264</v>
      </c>
      <c r="Q9">
        <v>3600800</v>
      </c>
      <c r="R9">
        <v>8</v>
      </c>
      <c r="S9">
        <v>0</v>
      </c>
      <c r="T9">
        <v>8</v>
      </c>
      <c r="U9">
        <v>0</v>
      </c>
      <c r="V9">
        <v>224</v>
      </c>
      <c r="W9">
        <v>360</v>
      </c>
      <c r="X9">
        <v>88</v>
      </c>
      <c r="Y9">
        <v>20</v>
      </c>
    </row>
    <row r="11" spans="1:25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5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5" x14ac:dyDescent="0.35">
      <c r="A13" s="2">
        <v>0</v>
      </c>
      <c r="B13" s="2">
        <f>AVERAGE(B2:E2)</f>
        <v>737118</v>
      </c>
      <c r="C13" s="2">
        <f>_xlfn.STDEV.S(B2:E2)</f>
        <v>41297.066401057273</v>
      </c>
      <c r="F13" s="2">
        <f t="shared" ref="F13:F20" si="0">AVERAGE(F2:I2)</f>
        <v>737122</v>
      </c>
      <c r="G13" s="2">
        <f t="shared" ref="G13:G20" si="1">_xlfn.STDEV.S(F2:I2)</f>
        <v>41295.642481985917</v>
      </c>
      <c r="J13" s="2">
        <f t="shared" ref="J13:J20" si="2">AVERAGE(J2:M2)</f>
        <v>4.5</v>
      </c>
      <c r="K13" s="2">
        <f t="shared" ref="K13:K20" si="3">_xlfn.STDEV.S(J2:M2)</f>
        <v>4.1231056256176606</v>
      </c>
      <c r="N13" s="2">
        <f t="shared" ref="N13:N20" si="4">AVERAGE(N2:Q2)</f>
        <v>749172</v>
      </c>
      <c r="O13" s="2">
        <f>_xlfn.STDEV.S(N2:Q2)</f>
        <v>45856.342316703223</v>
      </c>
      <c r="R13" s="2">
        <f>AVERAGE(R2:U2)</f>
        <v>4.5</v>
      </c>
      <c r="S13" s="2">
        <f>_xlfn.STDEV.S(R2:U2)</f>
        <v>3.415650255319866</v>
      </c>
      <c r="V13" s="2">
        <f>AVERAGE(V2:Y2)</f>
        <v>9</v>
      </c>
      <c r="W13" s="2">
        <f>_xlfn.STDEV.S(V2:Y2)</f>
        <v>6</v>
      </c>
    </row>
    <row r="14" spans="1:25" x14ac:dyDescent="0.35">
      <c r="A14" s="2">
        <v>24</v>
      </c>
      <c r="B14" s="2">
        <f>AVERAGE(B3:E3)</f>
        <v>1350312</v>
      </c>
      <c r="C14" s="2">
        <f t="shared" ref="C14:C20" si="5">_xlfn.STDEV.S(B3:E3)</f>
        <v>118978.36400511369</v>
      </c>
      <c r="F14" s="2">
        <f t="shared" si="0"/>
        <v>1350364.5</v>
      </c>
      <c r="G14" s="2">
        <f t="shared" si="1"/>
        <v>118973.80465043554</v>
      </c>
      <c r="J14" s="2">
        <f t="shared" si="2"/>
        <v>55</v>
      </c>
      <c r="K14" s="2">
        <f t="shared" si="3"/>
        <v>11.135528725660043</v>
      </c>
      <c r="N14" s="2">
        <f t="shared" si="4"/>
        <v>1360824</v>
      </c>
      <c r="O14" s="2">
        <f t="shared" ref="O14:O20" si="6">_xlfn.STDEV.S(N3:Q3)</f>
        <v>124033.13661544913</v>
      </c>
      <c r="R14" s="2">
        <f t="shared" ref="R14:R20" si="7">AVERAGE(R3:U3)</f>
        <v>3</v>
      </c>
      <c r="S14" s="2">
        <f t="shared" ref="S14:S20" si="8">_xlfn.STDEV.S(R3:U3)</f>
        <v>3.8297084310253524</v>
      </c>
      <c r="V14" s="2">
        <f t="shared" ref="V14:V20" si="9">AVERAGE(V3:Y3)</f>
        <v>57</v>
      </c>
      <c r="W14" s="2">
        <f t="shared" ref="W14:W20" si="10">_xlfn.STDEV.S(V3:Y3)</f>
        <v>9.0184995056457886</v>
      </c>
    </row>
    <row r="15" spans="1:25" x14ac:dyDescent="0.35">
      <c r="A15" s="2">
        <v>46</v>
      </c>
      <c r="B15" s="2">
        <f t="shared" ref="B15:B20" si="11">AVERAGE(B4:E4)</f>
        <v>2142431</v>
      </c>
      <c r="C15" s="2">
        <f t="shared" si="5"/>
        <v>186271.90014241726</v>
      </c>
      <c r="F15" s="2">
        <f t="shared" si="0"/>
        <v>2142488</v>
      </c>
      <c r="G15" s="2">
        <f t="shared" si="1"/>
        <v>186285.89952722311</v>
      </c>
      <c r="J15" s="2">
        <f t="shared" si="2"/>
        <v>59</v>
      </c>
      <c r="K15" s="2">
        <f t="shared" si="3"/>
        <v>24.738633753705962</v>
      </c>
      <c r="N15" s="2">
        <f t="shared" si="4"/>
        <v>2159862</v>
      </c>
      <c r="O15" s="2">
        <f t="shared" si="6"/>
        <v>196519.7999184815</v>
      </c>
      <c r="R15" s="2">
        <f t="shared" si="7"/>
        <v>0</v>
      </c>
      <c r="S15" s="2">
        <f t="shared" si="8"/>
        <v>0</v>
      </c>
      <c r="V15" s="2">
        <f t="shared" si="9"/>
        <v>52</v>
      </c>
      <c r="W15" s="2">
        <f t="shared" si="10"/>
        <v>21.166010488516726</v>
      </c>
    </row>
    <row r="16" spans="1:25" x14ac:dyDescent="0.35">
      <c r="A16" s="2">
        <v>70</v>
      </c>
      <c r="B16" s="2">
        <f t="shared" si="11"/>
        <v>2559992</v>
      </c>
      <c r="C16" s="2">
        <f t="shared" si="5"/>
        <v>265070.52777201263</v>
      </c>
      <c r="F16" s="2">
        <f t="shared" si="0"/>
        <v>2560031</v>
      </c>
      <c r="G16" s="2">
        <f t="shared" si="1"/>
        <v>265075.66369120596</v>
      </c>
      <c r="J16" s="2">
        <f t="shared" si="2"/>
        <v>49</v>
      </c>
      <c r="K16" s="2">
        <f t="shared" si="3"/>
        <v>21.756225162774292</v>
      </c>
      <c r="N16" s="2">
        <f t="shared" si="4"/>
        <v>2588892</v>
      </c>
      <c r="O16" s="2">
        <f t="shared" si="6"/>
        <v>273992.10178397479</v>
      </c>
      <c r="R16" s="2">
        <f t="shared" si="7"/>
        <v>2</v>
      </c>
      <c r="S16" s="2">
        <f t="shared" si="8"/>
        <v>4</v>
      </c>
      <c r="V16" s="2">
        <f t="shared" si="9"/>
        <v>43</v>
      </c>
      <c r="W16" s="2">
        <f t="shared" si="10"/>
        <v>22.949219304078007</v>
      </c>
    </row>
    <row r="17" spans="1:25" x14ac:dyDescent="0.35">
      <c r="A17" s="2">
        <v>96</v>
      </c>
      <c r="B17" s="2">
        <f t="shared" si="11"/>
        <v>3820679</v>
      </c>
      <c r="C17" s="2">
        <f t="shared" si="5"/>
        <v>322914.82934668701</v>
      </c>
      <c r="F17" s="2">
        <f t="shared" si="0"/>
        <v>3820710</v>
      </c>
      <c r="G17" s="2">
        <f t="shared" si="1"/>
        <v>322909.24675105436</v>
      </c>
      <c r="J17" s="2">
        <f t="shared" si="2"/>
        <v>37</v>
      </c>
      <c r="K17" s="2">
        <f t="shared" si="3"/>
        <v>15.0996688705415</v>
      </c>
      <c r="N17" s="2">
        <f t="shared" si="4"/>
        <v>3888245</v>
      </c>
      <c r="O17" s="2">
        <f t="shared" si="6"/>
        <v>340784.55456979462</v>
      </c>
      <c r="R17" s="2">
        <f t="shared" si="7"/>
        <v>4</v>
      </c>
      <c r="S17" s="2">
        <f t="shared" si="8"/>
        <v>8</v>
      </c>
      <c r="V17" s="2">
        <f t="shared" si="9"/>
        <v>32</v>
      </c>
      <c r="W17" s="2">
        <f t="shared" si="10"/>
        <v>16.970562748477139</v>
      </c>
    </row>
    <row r="18" spans="1:25" x14ac:dyDescent="0.35">
      <c r="A18" s="2">
        <v>120</v>
      </c>
      <c r="B18" s="2">
        <f t="shared" si="11"/>
        <v>3834187</v>
      </c>
      <c r="C18" s="2">
        <f t="shared" si="5"/>
        <v>339449.28986227087</v>
      </c>
      <c r="F18" s="2">
        <f t="shared" si="0"/>
        <v>3834152</v>
      </c>
      <c r="G18" s="2">
        <f t="shared" si="1"/>
        <v>339400.38158297155</v>
      </c>
      <c r="J18" s="2">
        <f t="shared" si="2"/>
        <v>32</v>
      </c>
      <c r="K18" s="2">
        <f t="shared" si="3"/>
        <v>21.66410241236256</v>
      </c>
      <c r="N18" s="2">
        <f t="shared" si="4"/>
        <v>3913951</v>
      </c>
      <c r="O18" s="2">
        <f t="shared" si="6"/>
        <v>378115.92624308576</v>
      </c>
      <c r="R18" s="2">
        <f t="shared" si="7"/>
        <v>7</v>
      </c>
      <c r="S18" s="2">
        <f t="shared" si="8"/>
        <v>9.4516312525052157</v>
      </c>
      <c r="V18" s="2">
        <f t="shared" si="9"/>
        <v>37</v>
      </c>
      <c r="W18" s="2">
        <f t="shared" si="10"/>
        <v>26</v>
      </c>
    </row>
    <row r="19" spans="1:25" x14ac:dyDescent="0.35">
      <c r="A19" s="2">
        <v>168</v>
      </c>
      <c r="B19" s="2">
        <f t="shared" si="11"/>
        <v>2746113</v>
      </c>
      <c r="C19" s="2">
        <f t="shared" si="5"/>
        <v>1004943.2772390689</v>
      </c>
      <c r="F19" s="2">
        <f t="shared" si="0"/>
        <v>3598868</v>
      </c>
      <c r="G19" s="2">
        <f t="shared" si="1"/>
        <v>208585.18674153253</v>
      </c>
      <c r="J19" s="2">
        <f t="shared" si="2"/>
        <v>343</v>
      </c>
      <c r="K19" s="2">
        <f t="shared" si="3"/>
        <v>26.608269391300141</v>
      </c>
      <c r="N19" s="2">
        <f t="shared" si="4"/>
        <v>4065881</v>
      </c>
      <c r="O19" s="2">
        <f t="shared" si="6"/>
        <v>386079.06454334798</v>
      </c>
      <c r="R19" s="2">
        <f t="shared" si="7"/>
        <v>9</v>
      </c>
      <c r="S19" s="2">
        <f t="shared" si="8"/>
        <v>10.519822558706334</v>
      </c>
      <c r="V19" s="2">
        <f t="shared" si="9"/>
        <v>320</v>
      </c>
      <c r="W19" s="2">
        <f t="shared" si="10"/>
        <v>50.701742244884116</v>
      </c>
    </row>
    <row r="20" spans="1:25" x14ac:dyDescent="0.35">
      <c r="A20" s="2">
        <v>264</v>
      </c>
      <c r="B20" s="2">
        <f t="shared" si="11"/>
        <v>790863</v>
      </c>
      <c r="C20" s="2">
        <f t="shared" si="5"/>
        <v>613070.2739610417</v>
      </c>
      <c r="F20" s="2">
        <f t="shared" si="0"/>
        <v>1316422</v>
      </c>
      <c r="G20" s="2">
        <f t="shared" si="1"/>
        <v>32586.308904200858</v>
      </c>
      <c r="J20" s="2">
        <f t="shared" si="2"/>
        <v>169</v>
      </c>
      <c r="K20" s="2">
        <f t="shared" si="3"/>
        <v>151.45076207577608</v>
      </c>
      <c r="N20" s="2">
        <f t="shared" si="4"/>
        <v>2328784</v>
      </c>
      <c r="O20" s="2">
        <f t="shared" si="6"/>
        <v>1427038.8738194907</v>
      </c>
      <c r="R20" s="2">
        <f t="shared" si="7"/>
        <v>4</v>
      </c>
      <c r="S20" s="2">
        <f t="shared" si="8"/>
        <v>4.6188021535170058</v>
      </c>
      <c r="V20" s="2">
        <f t="shared" si="9"/>
        <v>173</v>
      </c>
      <c r="W20" s="2">
        <f t="shared" si="10"/>
        <v>150.78019321736747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27.481168882821493</v>
      </c>
      <c r="C24" s="1">
        <f t="shared" ref="C24:C30" si="13">($A14-$A$13)/(1/LOG(2)*LOG(B14/B$13))</f>
        <v>27.481168882821493</v>
      </c>
      <c r="D24">
        <f>(B14/B13)^(1/($A14-$A13))-1</f>
        <v>2.5543405342490555E-2</v>
      </c>
      <c r="E24">
        <f>(B14/B$13)^(1/($A14-$A$13))-1</f>
        <v>2.5543405342490555E-2</v>
      </c>
      <c r="F24" s="1">
        <f t="shared" ref="F24:F30" si="14">($A14-$A13)/(1/LOG(2)*LOG(F14/F13))</f>
        <v>27.479650295143596</v>
      </c>
      <c r="G24" s="1">
        <f t="shared" ref="G24:G30" si="15">($A14-$A$13)/(1/LOG(2)*LOG(F14/F$13))</f>
        <v>27.479650295143596</v>
      </c>
      <c r="H24">
        <f>(F14/F13)^(1/($A14-$A13))-1</f>
        <v>2.5544834806676686E-2</v>
      </c>
      <c r="I24">
        <f>(F14/F$13)^(1/($A14-$A$13))-1</f>
        <v>2.5544834806676686E-2</v>
      </c>
      <c r="J24" s="1">
        <f t="shared" ref="J24:J30" si="16">($A14-$A13)/(1/LOG(2)*LOG(J14/J13))</f>
        <v>6.6455583205494646</v>
      </c>
      <c r="K24" s="1">
        <f t="shared" ref="K24:K30" si="17">($A14-$A$13)/(1/LOG(2)*LOG(J14/J$13))</f>
        <v>6.6455583205494646</v>
      </c>
      <c r="L24">
        <f>(J14/J13)^(1/($A14-$A13))-1</f>
        <v>0.10993596505332115</v>
      </c>
      <c r="M24">
        <f>(J14/J$13)^(1/($A14-$A$13))-1</f>
        <v>0.10993596505332115</v>
      </c>
      <c r="N24" s="1">
        <f t="shared" ref="N24:N30" si="18">($A14-$A13)/(1/LOG(2)*LOG(N14/N13))</f>
        <v>27.87095176669277</v>
      </c>
      <c r="O24" s="1">
        <f t="shared" ref="O24:O30" si="19">($A14-$A$13)/(1/LOG(2)*LOG(N14/N$13))</f>
        <v>27.87095176669277</v>
      </c>
      <c r="P24">
        <f>(N14/N13)^(1/($A14-$A13))-1</f>
        <v>2.5181713531872152E-2</v>
      </c>
      <c r="Q24">
        <f>(N14/N$13)^(1/($A14-$A$13))-1</f>
        <v>2.5181713531872152E-2</v>
      </c>
      <c r="R24" s="1">
        <f t="shared" ref="R24:R30" si="20">($A14-$A13)/(1/LOG(2)*LOG(R14/R13))</f>
        <v>-41.028270992434912</v>
      </c>
      <c r="S24" s="1">
        <f t="shared" ref="S24:S30" si="21">($A14-$A$13)/(1/LOG(2)*LOG(R14/R$13))</f>
        <v>-41.028270992434912</v>
      </c>
      <c r="T24">
        <f>(R14/R13)^(1/($A14-$A13))-1</f>
        <v>-1.6752469757962518E-2</v>
      </c>
      <c r="U24">
        <f>(R14/R$13)^(1/($A14-$A$13))-1</f>
        <v>-1.6752469757962518E-2</v>
      </c>
      <c r="V24" s="1">
        <f t="shared" ref="V24:V30" si="22">($A14-$A13)/(1/LOG(2)*LOG(V14/V13))</f>
        <v>9.0125104480678395</v>
      </c>
      <c r="W24" s="1">
        <f t="shared" ref="W24:W30" si="23">($A14-$A$13)/(1/LOG(2)*LOG(V14/V$13))</f>
        <v>9.0125104480678395</v>
      </c>
      <c r="X24">
        <f>(V14/V13)^(1/($A14-$A13))-1</f>
        <v>7.9944278082924258E-2</v>
      </c>
      <c r="Y24">
        <f>(V14/V$13)^(1/($A14-$A$13))-1</f>
        <v>7.9944278082924258E-2</v>
      </c>
    </row>
    <row r="25" spans="1:25" x14ac:dyDescent="0.35">
      <c r="A25" s="2">
        <v>46</v>
      </c>
      <c r="B25" s="1">
        <f t="shared" si="12"/>
        <v>33.035218046914977</v>
      </c>
      <c r="C25" s="1">
        <f t="shared" si="13"/>
        <v>29.884077442168746</v>
      </c>
      <c r="D25">
        <f t="shared" ref="D25:D30" si="24">(B15/B14)^(1/($A15-$A14))-1</f>
        <v>2.1203738911087733E-2</v>
      </c>
      <c r="E25">
        <f t="shared" ref="E25:E30" si="25">(B15/B$13)^(1/($A15-$A$13))-1</f>
        <v>2.3465616655319543E-2</v>
      </c>
      <c r="F25" s="1">
        <f t="shared" si="14"/>
        <v>33.036096485349496</v>
      </c>
      <c r="G25" s="1">
        <f t="shared" si="15"/>
        <v>29.883484269422674</v>
      </c>
      <c r="H25">
        <f t="shared" ref="H25:H30" si="26">(F15/F14)^(1/($A15-$A14))-1</f>
        <v>2.1203169162625324E-2</v>
      </c>
      <c r="I25">
        <f t="shared" ref="I25:I30" si="27">(F15/F$13)^(1/($A15-$A$13))-1</f>
        <v>2.346608785926807E-2</v>
      </c>
      <c r="J25" s="1">
        <f t="shared" si="16"/>
        <v>217.21243497909825</v>
      </c>
      <c r="K25" s="1">
        <f t="shared" si="17"/>
        <v>12.389844692294023</v>
      </c>
      <c r="L25">
        <f t="shared" ref="L25:L30" si="28">(J15/J14)^(1/($A15-$A14))-1</f>
        <v>3.1961996553102612E-3</v>
      </c>
      <c r="M25">
        <f>(J15/J$13)^(1/($A15-$A$13))-1</f>
        <v>5.7539288647228126E-2</v>
      </c>
      <c r="N25" s="1">
        <f t="shared" si="18"/>
        <v>33.010300186743258</v>
      </c>
      <c r="O25" s="1">
        <f t="shared" si="19"/>
        <v>30.113181340583402</v>
      </c>
      <c r="P25">
        <f t="shared" ref="P25:P30" si="29">(N15/N14)^(1/($A15-$A14))-1</f>
        <v>2.1219913207193075E-2</v>
      </c>
      <c r="Q25">
        <f t="shared" ref="Q25:Q30" si="30">(N15/N$13)^(1/($A15-$A$13))-1</f>
        <v>2.3285025537532089E-2</v>
      </c>
      <c r="R25" s="1" t="e">
        <f t="shared" si="20"/>
        <v>#NUM!</v>
      </c>
      <c r="S25" s="1" t="e">
        <f t="shared" si="21"/>
        <v>#NUM!</v>
      </c>
      <c r="T25">
        <f t="shared" ref="T25:T30" si="31">(R15/R14)^(1/($A15-$A14))-1</f>
        <v>-1</v>
      </c>
      <c r="U25">
        <f t="shared" ref="U25:U30" si="32">(R15/R$13)^(1/($A15-$A$13))-1</f>
        <v>-1</v>
      </c>
      <c r="V25" s="1">
        <f t="shared" si="22"/>
        <v>-166.1000440200738</v>
      </c>
      <c r="W25" s="1">
        <f t="shared" si="23"/>
        <v>18.178119928110902</v>
      </c>
      <c r="X25">
        <f t="shared" ref="X25:X30" si="33">(V15/V14)^(1/($A15-$A14))-1</f>
        <v>-4.1643752616040697E-3</v>
      </c>
      <c r="Y25">
        <f t="shared" ref="Y25:Y30" si="34">(V15/V$13)^(1/($A15-$A$13))-1</f>
        <v>3.8867160684626256E-2</v>
      </c>
    </row>
    <row r="26" spans="1:25" x14ac:dyDescent="0.35">
      <c r="A26" s="2">
        <v>70</v>
      </c>
      <c r="B26" s="1">
        <f t="shared" si="12"/>
        <v>93.424997523199465</v>
      </c>
      <c r="C26" s="1">
        <f t="shared" si="13"/>
        <v>38.971773015530019</v>
      </c>
      <c r="D26">
        <f t="shared" si="24"/>
        <v>7.4468814562655972E-3</v>
      </c>
      <c r="E26">
        <f t="shared" si="25"/>
        <v>1.7944988120226268E-2</v>
      </c>
      <c r="F26" s="1">
        <f t="shared" si="14"/>
        <v>93.430963777564983</v>
      </c>
      <c r="G26" s="1">
        <f t="shared" si="15"/>
        <v>38.971466011414165</v>
      </c>
      <c r="H26">
        <f t="shared" si="26"/>
        <v>7.4464041519550772E-3</v>
      </c>
      <c r="I26">
        <f t="shared" si="27"/>
        <v>1.7945130745696813E-2</v>
      </c>
      <c r="J26" s="1">
        <f t="shared" si="16"/>
        <v>-89.574563846642135</v>
      </c>
      <c r="K26" s="1">
        <f t="shared" si="17"/>
        <v>20.320572458651796</v>
      </c>
      <c r="L26">
        <f t="shared" si="28"/>
        <v>-7.7083515051773466E-3</v>
      </c>
      <c r="M26">
        <f>(J16/J$13)^(1/($A16-$A$13))-1</f>
        <v>3.4699051436557937E-2</v>
      </c>
      <c r="N26" s="1">
        <f t="shared" si="18"/>
        <v>91.814842671981566</v>
      </c>
      <c r="O26" s="1">
        <f t="shared" si="19"/>
        <v>39.128750379141202</v>
      </c>
      <c r="P26">
        <f t="shared" si="29"/>
        <v>7.5779708416026104E-3</v>
      </c>
      <c r="Q26">
        <f t="shared" si="30"/>
        <v>1.7872356595130423E-2</v>
      </c>
      <c r="R26" s="1" t="e">
        <f t="shared" si="20"/>
        <v>#DIV/0!</v>
      </c>
      <c r="S26" s="1">
        <f t="shared" si="21"/>
        <v>-59.832895197300914</v>
      </c>
      <c r="T26" t="e">
        <f t="shared" si="31"/>
        <v>#DIV/0!</v>
      </c>
      <c r="U26">
        <f t="shared" si="32"/>
        <v>-1.1517872909937887E-2</v>
      </c>
      <c r="V26" s="1">
        <f t="shared" si="22"/>
        <v>-87.535344945309561</v>
      </c>
      <c r="W26" s="1">
        <f t="shared" si="23"/>
        <v>31.023696630292228</v>
      </c>
      <c r="X26">
        <f t="shared" si="33"/>
        <v>-7.8872148512943996E-3</v>
      </c>
      <c r="Y26">
        <f t="shared" si="34"/>
        <v>2.259397079584291E-2</v>
      </c>
    </row>
    <row r="27" spans="1:25" x14ac:dyDescent="0.35">
      <c r="A27" s="2">
        <v>96</v>
      </c>
      <c r="B27" s="1">
        <f t="shared" si="12"/>
        <v>45.006856989508556</v>
      </c>
      <c r="C27" s="1">
        <f t="shared" si="13"/>
        <v>40.440437497728389</v>
      </c>
      <c r="D27">
        <f t="shared" si="24"/>
        <v>1.5520129324565257E-2</v>
      </c>
      <c r="E27">
        <f t="shared" si="25"/>
        <v>1.7287684387360835E-2</v>
      </c>
      <c r="F27" s="1">
        <f t="shared" si="14"/>
        <v>45.007657344724848</v>
      </c>
      <c r="G27" s="1">
        <f t="shared" si="15"/>
        <v>40.440371454001287</v>
      </c>
      <c r="H27">
        <f t="shared" si="26"/>
        <v>1.5519851204947477E-2</v>
      </c>
      <c r="I27">
        <f t="shared" si="27"/>
        <v>1.7287712862761762E-2</v>
      </c>
      <c r="J27" s="1">
        <f t="shared" si="16"/>
        <v>-64.156901567908207</v>
      </c>
      <c r="K27" s="1">
        <f t="shared" si="17"/>
        <v>31.583847392616494</v>
      </c>
      <c r="L27">
        <f t="shared" si="28"/>
        <v>-1.0745784980721873E-2</v>
      </c>
      <c r="M27">
        <f t="shared" ref="M27:M30" si="35">(J17/J$13)^(1/($A17-$A$13))-1</f>
        <v>2.2188845836518478E-2</v>
      </c>
      <c r="N27" s="1">
        <f t="shared" si="18"/>
        <v>44.309293931793832</v>
      </c>
      <c r="O27" s="1">
        <f t="shared" si="19"/>
        <v>40.4082880176963</v>
      </c>
      <c r="P27">
        <f t="shared" si="29"/>
        <v>1.5766379531980679E-2</v>
      </c>
      <c r="Q27">
        <f t="shared" si="30"/>
        <v>1.7301557051308869E-2</v>
      </c>
      <c r="R27" s="1">
        <f t="shared" si="20"/>
        <v>26</v>
      </c>
      <c r="S27" s="1">
        <f t="shared" si="21"/>
        <v>-564.95512246672479</v>
      </c>
      <c r="T27">
        <f t="shared" si="31"/>
        <v>2.7018050708772501E-2</v>
      </c>
      <c r="U27">
        <f t="shared" si="32"/>
        <v>-1.2261542792078028E-3</v>
      </c>
      <c r="V27" s="1">
        <f t="shared" si="22"/>
        <v>-60.994956099925552</v>
      </c>
      <c r="W27" s="1">
        <f t="shared" si="23"/>
        <v>52.456866563205992</v>
      </c>
      <c r="X27">
        <f t="shared" si="33"/>
        <v>-1.1299681746489765E-2</v>
      </c>
      <c r="Y27">
        <f t="shared" si="34"/>
        <v>1.3301345833639733E-2</v>
      </c>
    </row>
    <row r="28" spans="1:25" x14ac:dyDescent="0.35">
      <c r="A28" s="2">
        <v>120</v>
      </c>
      <c r="B28" s="1">
        <f t="shared" si="12"/>
        <v>4713.6007800117013</v>
      </c>
      <c r="C28" s="1">
        <f t="shared" si="13"/>
        <v>50.442354061511693</v>
      </c>
      <c r="D28">
        <f t="shared" si="24"/>
        <v>1.4706339801628943E-4</v>
      </c>
      <c r="E28">
        <f t="shared" si="25"/>
        <v>1.3836219174816478E-2</v>
      </c>
      <c r="F28" s="1">
        <f t="shared" si="14"/>
        <v>4736.7420554635974</v>
      </c>
      <c r="G28" s="1">
        <f t="shared" si="15"/>
        <v>50.44279930654838</v>
      </c>
      <c r="H28">
        <f t="shared" si="26"/>
        <v>1.4634486963260862E-4</v>
      </c>
      <c r="I28">
        <f t="shared" si="27"/>
        <v>1.3836096205205761E-2</v>
      </c>
      <c r="J28" s="1">
        <f t="shared" si="16"/>
        <v>-114.58397876745711</v>
      </c>
      <c r="K28" s="1">
        <f t="shared" si="17"/>
        <v>42.401703156685429</v>
      </c>
      <c r="L28">
        <f t="shared" si="28"/>
        <v>-6.0309905330013791E-3</v>
      </c>
      <c r="M28">
        <f t="shared" si="35"/>
        <v>1.6481500001102045E-2</v>
      </c>
      <c r="N28" s="1">
        <f t="shared" si="18"/>
        <v>2524.5704151898931</v>
      </c>
      <c r="O28" s="1">
        <f t="shared" si="19"/>
        <v>50.309048295855632</v>
      </c>
      <c r="P28">
        <f t="shared" si="29"/>
        <v>2.7459814172647867E-4</v>
      </c>
      <c r="Q28">
        <f t="shared" si="30"/>
        <v>1.3873134666359643E-2</v>
      </c>
      <c r="R28" s="1">
        <f t="shared" si="20"/>
        <v>29.726703020320002</v>
      </c>
      <c r="S28" s="1">
        <f t="shared" si="21"/>
        <v>188.25598880605986</v>
      </c>
      <c r="T28">
        <f t="shared" si="31"/>
        <v>2.3591298611771006E-2</v>
      </c>
      <c r="U28">
        <f t="shared" si="32"/>
        <v>3.6887262687519407E-3</v>
      </c>
      <c r="V28" s="1">
        <f t="shared" si="22"/>
        <v>114.58397876745705</v>
      </c>
      <c r="W28" s="1">
        <f t="shared" si="23"/>
        <v>58.837132205246846</v>
      </c>
      <c r="X28">
        <f t="shared" si="33"/>
        <v>6.0675840751165389E-3</v>
      </c>
      <c r="Y28">
        <f t="shared" si="34"/>
        <v>1.1850444464015286E-2</v>
      </c>
    </row>
    <row r="29" spans="1:25" x14ac:dyDescent="0.35">
      <c r="A29" s="2">
        <v>168</v>
      </c>
      <c r="B29" s="1">
        <f t="shared" si="12"/>
        <v>-99.682322983791408</v>
      </c>
      <c r="C29" s="1">
        <f t="shared" si="13"/>
        <v>88.541119118321376</v>
      </c>
      <c r="D29">
        <f t="shared" si="24"/>
        <v>-6.9294416020537764E-3</v>
      </c>
      <c r="E29">
        <f t="shared" si="25"/>
        <v>7.8592573101385899E-3</v>
      </c>
      <c r="F29" s="1">
        <f t="shared" si="14"/>
        <v>-525.36906437348739</v>
      </c>
      <c r="G29" s="1">
        <f t="shared" si="15"/>
        <v>73.440444130845549</v>
      </c>
      <c r="H29">
        <f t="shared" si="26"/>
        <v>-1.3184829022105937E-3</v>
      </c>
      <c r="I29">
        <f t="shared" si="27"/>
        <v>9.4829019946385262E-3</v>
      </c>
      <c r="J29" s="1">
        <f t="shared" si="16"/>
        <v>14.026619389112996</v>
      </c>
      <c r="K29" s="1">
        <f t="shared" si="17"/>
        <v>26.870800449426881</v>
      </c>
      <c r="L29">
        <f t="shared" si="28"/>
        <v>5.0657914313686936E-2</v>
      </c>
      <c r="M29">
        <f t="shared" si="35"/>
        <v>2.6131138488019623E-2</v>
      </c>
      <c r="N29" s="1">
        <f t="shared" si="18"/>
        <v>873.64385926189777</v>
      </c>
      <c r="O29" s="1">
        <f t="shared" si="19"/>
        <v>68.846841071376105</v>
      </c>
      <c r="P29">
        <f t="shared" si="29"/>
        <v>7.9371269733452543E-4</v>
      </c>
      <c r="Q29">
        <f t="shared" si="30"/>
        <v>1.0118811524135074E-2</v>
      </c>
      <c r="R29" s="1">
        <f t="shared" si="20"/>
        <v>132.38819949361888</v>
      </c>
      <c r="S29" s="1">
        <f t="shared" si="21"/>
        <v>168</v>
      </c>
      <c r="T29">
        <f t="shared" si="31"/>
        <v>5.249447575675914E-3</v>
      </c>
      <c r="U29">
        <f t="shared" si="32"/>
        <v>4.1343992192350854E-3</v>
      </c>
      <c r="V29" s="1">
        <f t="shared" si="22"/>
        <v>15.421811958433675</v>
      </c>
      <c r="W29" s="1">
        <f t="shared" si="23"/>
        <v>32.608676072758627</v>
      </c>
      <c r="X29">
        <f t="shared" si="33"/>
        <v>4.5971268785934605E-2</v>
      </c>
      <c r="Y29">
        <f t="shared" si="34"/>
        <v>2.148405555627475E-2</v>
      </c>
    </row>
    <row r="30" spans="1:25" x14ac:dyDescent="0.35">
      <c r="A30" s="2">
        <v>264</v>
      </c>
      <c r="B30" s="1">
        <f t="shared" si="12"/>
        <v>-53.455351507884018</v>
      </c>
      <c r="C30" s="1">
        <f t="shared" si="13"/>
        <v>2600.1600403878083</v>
      </c>
      <c r="D30">
        <f t="shared" si="24"/>
        <v>-1.2883136243309057E-2</v>
      </c>
      <c r="E30">
        <f t="shared" si="25"/>
        <v>2.6661419571327727E-4</v>
      </c>
      <c r="F30" s="1">
        <f t="shared" si="14"/>
        <v>-66.164863805732892</v>
      </c>
      <c r="G30" s="1">
        <f t="shared" si="15"/>
        <v>315.54537160644895</v>
      </c>
      <c r="H30">
        <f t="shared" si="26"/>
        <v>-1.0421378660770642E-2</v>
      </c>
      <c r="I30">
        <f t="shared" si="27"/>
        <v>2.1990785050389761E-3</v>
      </c>
      <c r="J30" s="1">
        <f t="shared" si="16"/>
        <v>-94.008401012068859</v>
      </c>
      <c r="K30" s="1">
        <f t="shared" si="17"/>
        <v>50.468801303577301</v>
      </c>
      <c r="L30">
        <f t="shared" si="28"/>
        <v>-7.3461315081682077E-3</v>
      </c>
      <c r="M30">
        <f t="shared" si="35"/>
        <v>1.3828918655508504E-2</v>
      </c>
      <c r="N30" s="1">
        <f t="shared" si="18"/>
        <v>-119.40429814182575</v>
      </c>
      <c r="O30" s="1">
        <f t="shared" si="19"/>
        <v>161.34868461613519</v>
      </c>
      <c r="P30">
        <f t="shared" si="29"/>
        <v>-5.7882270890428078E-3</v>
      </c>
      <c r="Q30">
        <f t="shared" si="30"/>
        <v>4.3051989059854634E-3</v>
      </c>
      <c r="R30" s="1">
        <f t="shared" si="20"/>
        <v>-82.056541984869824</v>
      </c>
      <c r="S30" s="1">
        <f t="shared" si="21"/>
        <v>-1553.6265867834932</v>
      </c>
      <c r="T30">
        <f t="shared" si="31"/>
        <v>-8.4116124913334867E-3</v>
      </c>
      <c r="U30">
        <f t="shared" si="32"/>
        <v>-4.4604835317640923E-4</v>
      </c>
      <c r="V30" s="1">
        <f t="shared" si="22"/>
        <v>-108.19341188167073</v>
      </c>
      <c r="W30" s="1">
        <f t="shared" si="23"/>
        <v>61.903486830800929</v>
      </c>
      <c r="X30">
        <f t="shared" si="33"/>
        <v>-6.3860780368956149E-3</v>
      </c>
      <c r="Y30">
        <f t="shared" si="34"/>
        <v>1.1260147094490636E-2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7" s="3" customFormat="1" x14ac:dyDescent="0.35">
      <c r="A33" s="4">
        <v>0</v>
      </c>
      <c r="B33" s="5">
        <f>F13/V13</f>
        <v>81902.444444444438</v>
      </c>
      <c r="C33" s="5">
        <f>G13/W13</f>
        <v>6882.6070803309858</v>
      </c>
      <c r="D33" s="5">
        <f>F13/(F13+V13)*100</f>
        <v>99.998779050128121</v>
      </c>
      <c r="E33" s="5">
        <f>V13/(F13+V13)*100</f>
        <v>1.220949871868094E-3</v>
      </c>
    </row>
    <row r="34" spans="1:7" s="3" customFormat="1" x14ac:dyDescent="0.35">
      <c r="A34" s="4">
        <v>24</v>
      </c>
      <c r="B34" s="5">
        <f t="shared" ref="B34:C40" si="36">F14/V14</f>
        <v>23690.605263157893</v>
      </c>
      <c r="C34" s="5">
        <f t="shared" si="36"/>
        <v>13192.195062599405</v>
      </c>
      <c r="D34" s="5">
        <f>F14/(F14+V14)*100</f>
        <v>99.995779095637914</v>
      </c>
      <c r="E34" s="5">
        <f>V14/(F14+V14)*100</f>
        <v>4.2209043620825056E-3</v>
      </c>
    </row>
    <row r="35" spans="1:7" s="3" customFormat="1" x14ac:dyDescent="0.35">
      <c r="A35" s="4">
        <v>46</v>
      </c>
      <c r="B35" s="5">
        <f t="shared" si="36"/>
        <v>41201.692307692305</v>
      </c>
      <c r="C35" s="5">
        <f t="shared" si="36"/>
        <v>8801.1814804820915</v>
      </c>
      <c r="D35" s="5">
        <f>F15/(F15+V15)*100</f>
        <v>99.997572974133504</v>
      </c>
      <c r="E35" s="5">
        <f>V15/(F15+V15)*100</f>
        <v>2.4270258664949077E-3</v>
      </c>
    </row>
    <row r="36" spans="1:7" s="3" customFormat="1" x14ac:dyDescent="0.35">
      <c r="A36" s="4">
        <v>70</v>
      </c>
      <c r="B36" s="5">
        <f t="shared" si="36"/>
        <v>59535.604651162794</v>
      </c>
      <c r="C36" s="5">
        <f t="shared" si="36"/>
        <v>11550.530768778824</v>
      </c>
      <c r="D36" s="5">
        <f>F16/(F16+V16)*100</f>
        <v>99.998320361052066</v>
      </c>
      <c r="E36" s="5">
        <f>V16/(F16+V16)*100</f>
        <v>1.6796389479366612E-3</v>
      </c>
    </row>
    <row r="37" spans="1:7" s="3" customFormat="1" x14ac:dyDescent="0.35">
      <c r="A37" s="4">
        <v>96</v>
      </c>
      <c r="B37" s="5">
        <f t="shared" si="36"/>
        <v>119397.1875</v>
      </c>
      <c r="C37" s="5">
        <f t="shared" si="36"/>
        <v>19027.609840459227</v>
      </c>
      <c r="D37" s="5">
        <f>F17/(F17+V17)*100</f>
        <v>99.999162466348153</v>
      </c>
      <c r="E37" s="5">
        <f>V17/(F17+V17)*100</f>
        <v>8.3753365184040176E-4</v>
      </c>
    </row>
    <row r="38" spans="1:7" s="3" customFormat="1" x14ac:dyDescent="0.35">
      <c r="A38" s="4">
        <v>120</v>
      </c>
      <c r="B38" s="5">
        <f t="shared" si="36"/>
        <v>103625.72972972973</v>
      </c>
      <c r="C38" s="5">
        <f t="shared" si="36"/>
        <v>13053.86083011429</v>
      </c>
      <c r="D38" s="5">
        <f>F18/(F18+V18)*100</f>
        <v>99.999034998013926</v>
      </c>
      <c r="E38" s="5">
        <f>V18/(F18+V18)*100</f>
        <v>9.6500198607841179E-4</v>
      </c>
    </row>
    <row r="39" spans="1:7" s="3" customFormat="1" x14ac:dyDescent="0.35">
      <c r="A39" s="4">
        <v>168</v>
      </c>
      <c r="B39" s="5">
        <f t="shared" si="36"/>
        <v>11246.4625</v>
      </c>
      <c r="C39" s="5">
        <f t="shared" si="36"/>
        <v>4113.9648758831181</v>
      </c>
      <c r="D39" s="5">
        <f>F19/(F19+V19)*100</f>
        <v>99.991109105720511</v>
      </c>
      <c r="E39" s="5">
        <f>V19/(F19+V19)*100</f>
        <v>8.8908942794874834E-3</v>
      </c>
    </row>
    <row r="40" spans="1:7" s="3" customFormat="1" x14ac:dyDescent="0.35">
      <c r="A40" s="4">
        <v>264</v>
      </c>
      <c r="B40" s="5">
        <f t="shared" si="36"/>
        <v>7609.3757225433528</v>
      </c>
      <c r="C40" s="5">
        <f>G20/W20</f>
        <v>216.11796754513932</v>
      </c>
      <c r="D40" s="5">
        <f>F20/(F20+V20)*100</f>
        <v>99.986860044280888</v>
      </c>
      <c r="E40" s="5">
        <f>V20/(F20+V20)*100</f>
        <v>1.3139955719108762E-2</v>
      </c>
    </row>
    <row r="41" spans="1:7" s="3" customFormat="1" x14ac:dyDescent="0.35"/>
    <row r="42" spans="1:7" s="3" customFormat="1" ht="43.5" x14ac:dyDescent="0.35">
      <c r="A42" s="3" t="s">
        <v>0</v>
      </c>
      <c r="B42" s="3" t="s">
        <v>56</v>
      </c>
      <c r="C42" s="3" t="s">
        <v>57</v>
      </c>
      <c r="D42" s="3" t="s">
        <v>58</v>
      </c>
      <c r="E42" s="3" t="s">
        <v>59</v>
      </c>
      <c r="F42" s="3" t="s">
        <v>60</v>
      </c>
      <c r="G42" s="3" t="s">
        <v>47</v>
      </c>
    </row>
    <row r="43" spans="1:7" s="3" customFormat="1" x14ac:dyDescent="0.35">
      <c r="A43" s="4">
        <v>0</v>
      </c>
      <c r="B43" s="5">
        <f>F2/V2</f>
        <v>44912.625</v>
      </c>
      <c r="C43" s="5">
        <f t="shared" ref="C43:E50" si="37">G2/W2</f>
        <v>190675</v>
      </c>
      <c r="D43" s="5">
        <f t="shared" si="37"/>
        <v>172087.5</v>
      </c>
      <c r="E43" s="5">
        <f>I2/Y2</f>
        <v>64903</v>
      </c>
      <c r="F43" s="5">
        <f>AVERAGE(B43:E43)</f>
        <v>118144.53125</v>
      </c>
      <c r="G43" s="5">
        <f>_xlfn.STDEV.S(B43:E43)</f>
        <v>73864.934209929677</v>
      </c>
    </row>
    <row r="44" spans="1:7" s="3" customFormat="1" x14ac:dyDescent="0.35">
      <c r="A44" s="4">
        <v>24</v>
      </c>
      <c r="B44" s="5">
        <f t="shared" ref="B44:B50" si="38">F3/V3</f>
        <v>18440.228571428572</v>
      </c>
      <c r="C44" s="5">
        <f t="shared" si="37"/>
        <v>26000.5</v>
      </c>
      <c r="D44" s="5">
        <f t="shared" si="37"/>
        <v>24235.72</v>
      </c>
      <c r="E44" s="5">
        <f t="shared" si="37"/>
        <v>27746.692307692309</v>
      </c>
      <c r="F44" s="5">
        <f t="shared" ref="F44:F50" si="39">AVERAGE(B44:E44)</f>
        <v>24105.78521978022</v>
      </c>
      <c r="G44" s="5">
        <f t="shared" ref="G44:G50" si="40">_xlfn.STDEV.S(B44:E44)</f>
        <v>4039.8664872321488</v>
      </c>
    </row>
    <row r="45" spans="1:7" s="3" customFormat="1" x14ac:dyDescent="0.35">
      <c r="A45" s="4">
        <v>46</v>
      </c>
      <c r="B45" s="5">
        <f t="shared" si="38"/>
        <v>37702.5</v>
      </c>
      <c r="C45" s="5">
        <f t="shared" si="37"/>
        <v>42367.916666666664</v>
      </c>
      <c r="D45" s="5">
        <f t="shared" si="37"/>
        <v>29397.777777777777</v>
      </c>
      <c r="E45" s="5">
        <f t="shared" si="37"/>
        <v>83612.166666666672</v>
      </c>
      <c r="F45" s="5">
        <f t="shared" si="39"/>
        <v>48270.090277777781</v>
      </c>
      <c r="G45" s="5">
        <f t="shared" si="40"/>
        <v>24164.272250510625</v>
      </c>
    </row>
    <row r="46" spans="1:7" s="3" customFormat="1" x14ac:dyDescent="0.35">
      <c r="A46" s="4">
        <v>70</v>
      </c>
      <c r="B46" s="5">
        <f t="shared" si="38"/>
        <v>61965.7</v>
      </c>
      <c r="C46" s="5">
        <f t="shared" si="37"/>
        <v>44626.5</v>
      </c>
      <c r="D46" s="5">
        <f t="shared" si="37"/>
        <v>186376</v>
      </c>
      <c r="E46" s="5">
        <f t="shared" si="37"/>
        <v>47658.714285714283</v>
      </c>
      <c r="F46" s="5">
        <f t="shared" si="39"/>
        <v>85156.728571428568</v>
      </c>
      <c r="G46" s="5">
        <f t="shared" si="40"/>
        <v>67901.804635212044</v>
      </c>
    </row>
    <row r="47" spans="1:7" s="3" customFormat="1" x14ac:dyDescent="0.35">
      <c r="A47" s="4">
        <v>96</v>
      </c>
      <c r="B47" s="5">
        <f t="shared" si="38"/>
        <v>208895</v>
      </c>
      <c r="C47" s="5">
        <f t="shared" si="37"/>
        <v>71048.28571428571</v>
      </c>
      <c r="D47" s="5">
        <f t="shared" si="37"/>
        <v>184025</v>
      </c>
      <c r="E47" s="5">
        <f t="shared" si="37"/>
        <v>107679.25</v>
      </c>
      <c r="F47" s="5">
        <f t="shared" si="39"/>
        <v>142911.88392857142</v>
      </c>
      <c r="G47" s="5">
        <f t="shared" si="40"/>
        <v>64419.911935796692</v>
      </c>
    </row>
    <row r="48" spans="1:7" s="3" customFormat="1" x14ac:dyDescent="0.35">
      <c r="A48" s="4">
        <v>120</v>
      </c>
      <c r="B48" s="5">
        <f t="shared" si="38"/>
        <v>98650.6</v>
      </c>
      <c r="C48" s="5">
        <f t="shared" si="37"/>
        <v>70834.333333333328</v>
      </c>
      <c r="D48" s="5">
        <f t="shared" si="37"/>
        <v>72255.5</v>
      </c>
      <c r="E48" s="5" t="e">
        <f t="shared" si="37"/>
        <v>#DIV/0!</v>
      </c>
      <c r="F48" s="5" t="e">
        <f t="shared" si="39"/>
        <v>#DIV/0!</v>
      </c>
      <c r="G48" s="5" t="e">
        <f t="shared" si="40"/>
        <v>#DIV/0!</v>
      </c>
    </row>
    <row r="49" spans="1:7" s="3" customFormat="1" x14ac:dyDescent="0.35">
      <c r="A49" s="4">
        <v>168</v>
      </c>
      <c r="B49" s="5" t="e">
        <f t="shared" si="38"/>
        <v>#VALUE!</v>
      </c>
      <c r="C49" s="5" t="e">
        <f t="shared" si="37"/>
        <v>#VALUE!</v>
      </c>
      <c r="D49" s="5">
        <f t="shared" si="37"/>
        <v>10271.952380952382</v>
      </c>
      <c r="E49" s="5">
        <f t="shared" si="37"/>
        <v>14409.076923076924</v>
      </c>
      <c r="F49" s="5" t="e">
        <f t="shared" si="39"/>
        <v>#VALUE!</v>
      </c>
      <c r="G49" s="5" t="e">
        <f t="shared" si="40"/>
        <v>#VALUE!</v>
      </c>
    </row>
    <row r="50" spans="1:7" s="3" customFormat="1" x14ac:dyDescent="0.35">
      <c r="A50" s="4">
        <v>264</v>
      </c>
      <c r="B50" s="5" t="e">
        <f t="shared" si="38"/>
        <v>#VALUE!</v>
      </c>
      <c r="C50" s="5" t="e">
        <f t="shared" si="37"/>
        <v>#VALUE!</v>
      </c>
      <c r="D50" s="5">
        <f t="shared" si="37"/>
        <v>15221.181818181818</v>
      </c>
      <c r="E50" s="5">
        <f t="shared" si="37"/>
        <v>64669</v>
      </c>
      <c r="F50" s="5" t="e">
        <f t="shared" si="39"/>
        <v>#VALUE!</v>
      </c>
      <c r="G50" s="5" t="e">
        <f t="shared" si="40"/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3F96-4DB1-4D8F-88A3-664D47F9303F}">
  <dimension ref="A1:Y50"/>
  <sheetViews>
    <sheetView topLeftCell="A40" workbookViewId="0">
      <selection activeCell="D43" sqref="D43:E50"/>
    </sheetView>
  </sheetViews>
  <sheetFormatPr defaultRowHeight="14.5" x14ac:dyDescent="0.35"/>
  <cols>
    <col min="4" max="4" width="11.36328125" bestFit="1" customWidth="1"/>
  </cols>
  <sheetData>
    <row r="1" spans="1:23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</row>
    <row r="2" spans="1:23" x14ac:dyDescent="0.35">
      <c r="A2">
        <v>0</v>
      </c>
      <c r="B2">
        <v>714116</v>
      </c>
      <c r="C2">
        <v>760724</v>
      </c>
      <c r="D2">
        <v>714118</v>
      </c>
      <c r="E2">
        <v>760728</v>
      </c>
      <c r="F2">
        <v>2</v>
      </c>
      <c r="G2">
        <v>4</v>
      </c>
      <c r="H2">
        <v>723114</v>
      </c>
      <c r="I2">
        <v>783840</v>
      </c>
      <c r="J2">
        <v>8</v>
      </c>
      <c r="K2">
        <v>12</v>
      </c>
      <c r="L2">
        <v>10</v>
      </c>
      <c r="M2">
        <v>16</v>
      </c>
    </row>
    <row r="3" spans="1:23" x14ac:dyDescent="0.35">
      <c r="A3">
        <v>24</v>
      </c>
      <c r="B3">
        <v>1606228</v>
      </c>
      <c r="C3">
        <v>1954164</v>
      </c>
      <c r="D3">
        <v>1606268</v>
      </c>
      <c r="E3">
        <v>1954224</v>
      </c>
      <c r="F3">
        <v>46</v>
      </c>
      <c r="G3">
        <v>60</v>
      </c>
      <c r="H3">
        <v>1612000</v>
      </c>
      <c r="I3">
        <v>1965496</v>
      </c>
      <c r="J3">
        <v>0</v>
      </c>
      <c r="K3">
        <v>0</v>
      </c>
      <c r="L3">
        <v>40</v>
      </c>
      <c r="M3">
        <v>56</v>
      </c>
    </row>
    <row r="4" spans="1:23" x14ac:dyDescent="0.35">
      <c r="A4">
        <v>46</v>
      </c>
      <c r="B4">
        <v>3298464</v>
      </c>
      <c r="C4">
        <v>2701640</v>
      </c>
      <c r="D4">
        <v>3298512</v>
      </c>
      <c r="E4">
        <v>2701712</v>
      </c>
      <c r="F4">
        <v>56</v>
      </c>
      <c r="G4">
        <v>72</v>
      </c>
      <c r="H4">
        <v>3316112</v>
      </c>
      <c r="I4">
        <v>2713524</v>
      </c>
      <c r="J4">
        <v>0</v>
      </c>
      <c r="K4">
        <v>0</v>
      </c>
      <c r="L4">
        <v>48</v>
      </c>
      <c r="M4">
        <v>60</v>
      </c>
    </row>
    <row r="5" spans="1:23" x14ac:dyDescent="0.35">
      <c r="A5">
        <v>70</v>
      </c>
      <c r="B5">
        <v>3168364</v>
      </c>
      <c r="C5">
        <v>3736448</v>
      </c>
      <c r="D5">
        <v>3168392</v>
      </c>
      <c r="E5">
        <v>3736496</v>
      </c>
      <c r="F5">
        <v>40</v>
      </c>
      <c r="G5">
        <v>56</v>
      </c>
      <c r="H5">
        <v>3184676</v>
      </c>
      <c r="I5">
        <v>3777160</v>
      </c>
      <c r="J5">
        <v>4</v>
      </c>
      <c r="K5">
        <v>24</v>
      </c>
      <c r="L5">
        <v>36</v>
      </c>
      <c r="M5">
        <v>64</v>
      </c>
    </row>
    <row r="6" spans="1:23" x14ac:dyDescent="0.35">
      <c r="A6">
        <v>96</v>
      </c>
      <c r="B6">
        <v>5142020</v>
      </c>
      <c r="C6">
        <v>4833128</v>
      </c>
      <c r="D6">
        <v>5141960</v>
      </c>
      <c r="E6">
        <v>4833048</v>
      </c>
      <c r="F6">
        <v>20</v>
      </c>
      <c r="G6">
        <v>8</v>
      </c>
      <c r="H6">
        <v>5253680</v>
      </c>
      <c r="I6">
        <v>4867496</v>
      </c>
      <c r="J6">
        <v>0</v>
      </c>
      <c r="K6">
        <v>0</v>
      </c>
      <c r="L6">
        <v>0</v>
      </c>
      <c r="M6">
        <v>8</v>
      </c>
    </row>
    <row r="7" spans="1:23" x14ac:dyDescent="0.35">
      <c r="A7">
        <v>120</v>
      </c>
      <c r="B7">
        <v>3100280</v>
      </c>
      <c r="C7">
        <v>3663380</v>
      </c>
      <c r="D7">
        <v>3067024</v>
      </c>
      <c r="E7">
        <v>3626380</v>
      </c>
      <c r="F7">
        <v>16</v>
      </c>
      <c r="G7">
        <v>60</v>
      </c>
      <c r="H7">
        <v>4589944</v>
      </c>
      <c r="I7">
        <v>5364240</v>
      </c>
      <c r="J7">
        <v>0</v>
      </c>
      <c r="K7">
        <v>20</v>
      </c>
      <c r="L7">
        <v>8</v>
      </c>
      <c r="M7">
        <v>80</v>
      </c>
    </row>
    <row r="8" spans="1:23" x14ac:dyDescent="0.35">
      <c r="A8">
        <v>168</v>
      </c>
      <c r="B8">
        <v>390928</v>
      </c>
      <c r="C8">
        <v>426120</v>
      </c>
      <c r="D8">
        <v>390056</v>
      </c>
      <c r="E8">
        <v>425360</v>
      </c>
      <c r="F8">
        <v>40</v>
      </c>
      <c r="G8">
        <v>80</v>
      </c>
      <c r="H8">
        <v>4440392</v>
      </c>
      <c r="I8">
        <v>5206160</v>
      </c>
      <c r="J8">
        <v>0</v>
      </c>
      <c r="K8">
        <v>0</v>
      </c>
      <c r="L8">
        <v>40</v>
      </c>
      <c r="M8">
        <v>60</v>
      </c>
    </row>
    <row r="9" spans="1:23" x14ac:dyDescent="0.35">
      <c r="A9">
        <v>264</v>
      </c>
      <c r="B9">
        <v>49728</v>
      </c>
      <c r="C9">
        <v>52660</v>
      </c>
      <c r="D9">
        <v>49608</v>
      </c>
      <c r="E9">
        <v>52560</v>
      </c>
      <c r="F9">
        <v>24</v>
      </c>
      <c r="G9">
        <v>0</v>
      </c>
      <c r="H9">
        <v>4377960</v>
      </c>
      <c r="I9">
        <v>4852560</v>
      </c>
      <c r="J9">
        <v>8</v>
      </c>
      <c r="K9">
        <v>0</v>
      </c>
      <c r="L9">
        <v>24</v>
      </c>
      <c r="M9">
        <v>0</v>
      </c>
    </row>
    <row r="11" spans="1:23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3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3" x14ac:dyDescent="0.35">
      <c r="A13" s="2">
        <v>0</v>
      </c>
      <c r="B13" s="2">
        <f>AVERAGE(B2:C2)</f>
        <v>737420</v>
      </c>
      <c r="C13" s="2">
        <f>_xlfn.STDEV.S(B2:C2)</f>
        <v>32956.832857542606</v>
      </c>
      <c r="F13" s="2">
        <f>AVERAGE(D2:E2)</f>
        <v>737423</v>
      </c>
      <c r="G13" s="2">
        <f>_xlfn.STDEV.S(D2:E2)</f>
        <v>32958.247071104983</v>
      </c>
      <c r="J13" s="2">
        <f>AVERAGE(F2:G2)</f>
        <v>3</v>
      </c>
      <c r="K13" s="2">
        <f>_xlfn.STDEV.S(F2:G2)</f>
        <v>1.4142135623730951</v>
      </c>
      <c r="N13" s="2">
        <f>AVERAGE(H2:I2)</f>
        <v>753477</v>
      </c>
      <c r="O13" s="2">
        <f>_xlfn.STDEV.S(H2:I2)</f>
        <v>42939.766394334285</v>
      </c>
      <c r="R13" s="2">
        <f>AVERAGE(J2:K2)</f>
        <v>10</v>
      </c>
      <c r="S13" s="2">
        <f>_xlfn.STDEV.S(J2:K2)</f>
        <v>2.8284271247461903</v>
      </c>
      <c r="V13" s="2">
        <f>AVERAGE(L2:M2)</f>
        <v>13</v>
      </c>
      <c r="W13" s="2">
        <f>_xlfn.STDEV.S(L2:M2)</f>
        <v>4.2426406871192848</v>
      </c>
    </row>
    <row r="14" spans="1:23" x14ac:dyDescent="0.35">
      <c r="A14" s="2">
        <v>24</v>
      </c>
      <c r="B14" s="2">
        <f t="shared" ref="B14:B20" si="0">AVERAGE(B3:C3)</f>
        <v>1780196</v>
      </c>
      <c r="C14" s="2">
        <f>_xlfn.STDEV.S(B3:C3)</f>
        <v>246027.90501892261</v>
      </c>
      <c r="F14" s="2">
        <f t="shared" ref="F14:F20" si="1">AVERAGE(D3:E3)</f>
        <v>1780246</v>
      </c>
      <c r="G14" s="2">
        <f t="shared" ref="G14:G20" si="2">_xlfn.STDEV.S(D3:E3)</f>
        <v>246042.04715454634</v>
      </c>
      <c r="J14" s="2">
        <f t="shared" ref="J14:J20" si="3">AVERAGE(F3:G3)</f>
        <v>53</v>
      </c>
      <c r="K14" s="2">
        <f t="shared" ref="K14:K20" si="4">_xlfn.STDEV.S(F3:G3)</f>
        <v>9.8994949366116654</v>
      </c>
      <c r="N14" s="2">
        <f t="shared" ref="N14:N20" si="5">AVERAGE(H3:I3)</f>
        <v>1788748</v>
      </c>
      <c r="O14" s="2">
        <f t="shared" ref="O14:O20" si="6">_xlfn.STDEV.S(H3:I3)</f>
        <v>249959.4187223198</v>
      </c>
      <c r="R14" s="2">
        <f t="shared" ref="R14:R20" si="7">AVERAGE(J3:K3)</f>
        <v>0</v>
      </c>
      <c r="S14" s="2">
        <f t="shared" ref="S14:S20" si="8">_xlfn.STDEV.S(J3:K3)</f>
        <v>0</v>
      </c>
      <c r="V14" s="2">
        <f t="shared" ref="V14:V20" si="9">AVERAGE(L3:M3)</f>
        <v>48</v>
      </c>
      <c r="W14" s="2">
        <f t="shared" ref="W14:W20" si="10">_xlfn.STDEV.S(L3:M3)</f>
        <v>11.313708498984761</v>
      </c>
    </row>
    <row r="15" spans="1:23" x14ac:dyDescent="0.35">
      <c r="A15" s="2">
        <v>46</v>
      </c>
      <c r="B15" s="2">
        <f t="shared" si="0"/>
        <v>3000052</v>
      </c>
      <c r="C15" s="2">
        <f t="shared" ref="C15:C20" si="11">_xlfn.STDEV.S(B4:C4)</f>
        <v>422018.29757488007</v>
      </c>
      <c r="F15" s="2">
        <f t="shared" si="1"/>
        <v>3000112</v>
      </c>
      <c r="G15" s="2">
        <f t="shared" si="2"/>
        <v>422001.32701213157</v>
      </c>
      <c r="J15" s="2">
        <f t="shared" si="3"/>
        <v>64</v>
      </c>
      <c r="K15" s="2">
        <f t="shared" si="4"/>
        <v>11.313708498984761</v>
      </c>
      <c r="N15" s="2">
        <f t="shared" si="5"/>
        <v>3014818</v>
      </c>
      <c r="O15" s="2">
        <f t="shared" si="6"/>
        <v>426094.06106163928</v>
      </c>
      <c r="R15" s="2">
        <f t="shared" si="7"/>
        <v>0</v>
      </c>
      <c r="S15" s="2">
        <f t="shared" si="8"/>
        <v>0</v>
      </c>
      <c r="V15" s="2">
        <f t="shared" si="9"/>
        <v>54</v>
      </c>
      <c r="W15" s="2">
        <f t="shared" si="10"/>
        <v>8.4852813742385695</v>
      </c>
    </row>
    <row r="16" spans="1:23" x14ac:dyDescent="0.35">
      <c r="A16" s="2">
        <v>70</v>
      </c>
      <c r="B16" s="2">
        <f t="shared" si="0"/>
        <v>3452406</v>
      </c>
      <c r="C16" s="2">
        <f t="shared" si="11"/>
        <v>401696.04868357867</v>
      </c>
      <c r="F16" s="2">
        <f t="shared" si="1"/>
        <v>3452444</v>
      </c>
      <c r="G16" s="2">
        <f t="shared" si="2"/>
        <v>401710.1908192024</v>
      </c>
      <c r="J16" s="2">
        <f t="shared" si="3"/>
        <v>48</v>
      </c>
      <c r="K16" s="2">
        <f t="shared" si="4"/>
        <v>11.313708498984761</v>
      </c>
      <c r="N16" s="2">
        <f t="shared" si="5"/>
        <v>3480918</v>
      </c>
      <c r="O16" s="2">
        <f t="shared" si="6"/>
        <v>418949.45414453041</v>
      </c>
      <c r="R16" s="2">
        <f t="shared" si="7"/>
        <v>14</v>
      </c>
      <c r="S16" s="2">
        <f t="shared" si="8"/>
        <v>14.142135623730951</v>
      </c>
      <c r="V16" s="2">
        <f t="shared" si="9"/>
        <v>50</v>
      </c>
      <c r="W16" s="2">
        <f t="shared" si="10"/>
        <v>19.798989873223331</v>
      </c>
    </row>
    <row r="17" spans="1:25" x14ac:dyDescent="0.35">
      <c r="A17" s="2">
        <v>96</v>
      </c>
      <c r="B17" s="2">
        <f t="shared" si="0"/>
        <v>4987574</v>
      </c>
      <c r="C17" s="2">
        <f t="shared" si="11"/>
        <v>218419.62785427505</v>
      </c>
      <c r="F17" s="2">
        <f t="shared" si="1"/>
        <v>4987504</v>
      </c>
      <c r="G17" s="2">
        <f t="shared" si="2"/>
        <v>218433.76998989878</v>
      </c>
      <c r="J17" s="2">
        <f t="shared" si="3"/>
        <v>14</v>
      </c>
      <c r="K17" s="2">
        <f t="shared" si="4"/>
        <v>8.4852813742385695</v>
      </c>
      <c r="N17" s="2">
        <f t="shared" si="5"/>
        <v>5060588</v>
      </c>
      <c r="O17" s="2">
        <f t="shared" si="6"/>
        <v>273073.32518574566</v>
      </c>
      <c r="R17" s="2">
        <f t="shared" si="7"/>
        <v>0</v>
      </c>
      <c r="S17" s="2">
        <f t="shared" si="8"/>
        <v>0</v>
      </c>
      <c r="V17" s="2">
        <f t="shared" si="9"/>
        <v>4</v>
      </c>
      <c r="W17" s="2">
        <f t="shared" si="10"/>
        <v>5.6568542494923806</v>
      </c>
    </row>
    <row r="18" spans="1:25" x14ac:dyDescent="0.35">
      <c r="A18" s="2">
        <v>120</v>
      </c>
      <c r="B18" s="2">
        <f t="shared" si="0"/>
        <v>3381830</v>
      </c>
      <c r="C18" s="2">
        <f t="shared" si="11"/>
        <v>398171.82848614489</v>
      </c>
      <c r="F18" s="2">
        <f t="shared" si="1"/>
        <v>3346702</v>
      </c>
      <c r="G18" s="2">
        <f t="shared" si="2"/>
        <v>395524.42069738248</v>
      </c>
      <c r="J18" s="2">
        <f t="shared" si="3"/>
        <v>38</v>
      </c>
      <c r="K18" s="2">
        <f t="shared" si="4"/>
        <v>31.11269837220809</v>
      </c>
      <c r="N18" s="2">
        <f t="shared" si="5"/>
        <v>4977092</v>
      </c>
      <c r="O18" s="2">
        <f t="shared" si="6"/>
        <v>547509.95224561903</v>
      </c>
      <c r="R18" s="2">
        <f t="shared" si="7"/>
        <v>10</v>
      </c>
      <c r="S18" s="2">
        <f t="shared" si="8"/>
        <v>14.142135623730951</v>
      </c>
      <c r="V18" s="2">
        <f t="shared" si="9"/>
        <v>44</v>
      </c>
      <c r="W18" s="2">
        <f t="shared" si="10"/>
        <v>50.911688245431421</v>
      </c>
    </row>
    <row r="19" spans="1:25" x14ac:dyDescent="0.35">
      <c r="A19" s="2">
        <v>168</v>
      </c>
      <c r="B19" s="2">
        <f t="shared" si="0"/>
        <v>408524</v>
      </c>
      <c r="C19" s="2">
        <f t="shared" si="11"/>
        <v>24884.50184351698</v>
      </c>
      <c r="F19" s="2">
        <f t="shared" si="1"/>
        <v>407708</v>
      </c>
      <c r="G19" s="2">
        <f t="shared" si="2"/>
        <v>24963.697803009873</v>
      </c>
      <c r="J19" s="2">
        <f t="shared" si="3"/>
        <v>60</v>
      </c>
      <c r="K19" s="2">
        <f t="shared" si="4"/>
        <v>28.284271247461902</v>
      </c>
      <c r="N19" s="2">
        <f t="shared" si="5"/>
        <v>4823276</v>
      </c>
      <c r="O19" s="2">
        <f t="shared" si="6"/>
        <v>541479.7456156601</v>
      </c>
      <c r="R19" s="2">
        <f t="shared" si="7"/>
        <v>0</v>
      </c>
      <c r="S19" s="2">
        <f t="shared" si="8"/>
        <v>0</v>
      </c>
      <c r="V19" s="2">
        <f t="shared" si="9"/>
        <v>50</v>
      </c>
      <c r="W19" s="2">
        <f t="shared" si="10"/>
        <v>14.142135623730951</v>
      </c>
    </row>
    <row r="20" spans="1:25" x14ac:dyDescent="0.35">
      <c r="A20" s="2">
        <v>264</v>
      </c>
      <c r="B20" s="2">
        <f t="shared" si="0"/>
        <v>51194</v>
      </c>
      <c r="C20" s="2">
        <f t="shared" si="11"/>
        <v>2073.2370824389573</v>
      </c>
      <c r="F20" s="2">
        <f t="shared" si="1"/>
        <v>51084</v>
      </c>
      <c r="G20" s="2">
        <f t="shared" si="2"/>
        <v>2087.3792180626883</v>
      </c>
      <c r="J20" s="2">
        <f t="shared" si="3"/>
        <v>12</v>
      </c>
      <c r="K20" s="2">
        <f t="shared" si="4"/>
        <v>16.970562748477139</v>
      </c>
      <c r="N20" s="2">
        <f t="shared" si="5"/>
        <v>4615260</v>
      </c>
      <c r="O20" s="2">
        <f t="shared" si="6"/>
        <v>335592.87835113547</v>
      </c>
      <c r="R20" s="2">
        <f t="shared" si="7"/>
        <v>4</v>
      </c>
      <c r="S20" s="2">
        <f t="shared" si="8"/>
        <v>5.6568542494923806</v>
      </c>
      <c r="V20" s="2">
        <f t="shared" si="9"/>
        <v>12</v>
      </c>
      <c r="W20" s="2">
        <f t="shared" si="10"/>
        <v>16.970562748477139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18.875676009427217</v>
      </c>
      <c r="C24" s="1">
        <f t="shared" ref="C24:C30" si="13">($A14-$A$13)/(1/LOG(2)*LOG(B14/B$13))</f>
        <v>18.875676009427217</v>
      </c>
      <c r="D24">
        <f>(B14/B13)^(1/($A14-$A13))-1</f>
        <v>3.740428582751032E-2</v>
      </c>
      <c r="E24">
        <f>(B14/B$13)^(1/($A14-$A$13))-1</f>
        <v>3.740428582751032E-2</v>
      </c>
      <c r="F24" s="1">
        <f t="shared" ref="F24:F30" si="14">($A14-$A13)/(1/LOG(2)*LOG(F14/F13))</f>
        <v>18.875161614803691</v>
      </c>
      <c r="G24" s="1">
        <f t="shared" ref="G24:G30" si="15">($A14-$A$13)/(1/LOG(2)*LOG(F14/F$13))</f>
        <v>18.875161614803691</v>
      </c>
      <c r="H24">
        <f>(F14/F13)^(1/($A14-$A13))-1</f>
        <v>3.7405324017754982E-2</v>
      </c>
      <c r="I24">
        <f>(F14/F$13)^(1/($A14-$A$13))-1</f>
        <v>3.7405324017754982E-2</v>
      </c>
      <c r="J24" s="1">
        <f t="shared" ref="J24:J30" si="16">($A14-$A13)/(1/LOG(2)*LOG(J14/J13))</f>
        <v>5.7929624841457033</v>
      </c>
      <c r="K24" s="1">
        <f t="shared" ref="K24:K30" si="17">($A14-$A$13)/(1/LOG(2)*LOG(J14/J$13))</f>
        <v>5.7929624841457033</v>
      </c>
      <c r="L24">
        <f>(J14/J13)^(1/($A14-$A13))-1</f>
        <v>0.12710603612988725</v>
      </c>
      <c r="M24">
        <f>(J14/J$13)^(1/($A14-$A$13))-1</f>
        <v>0.12710603612988725</v>
      </c>
      <c r="N24" s="1">
        <f t="shared" ref="N24:N30" si="18">($A14-$A13)/(1/LOG(2)*LOG(N14/N13))</f>
        <v>19.241333852365329</v>
      </c>
      <c r="O24" s="1">
        <f t="shared" ref="O24:O30" si="19">($A14-$A$13)/(1/LOG(2)*LOG(N14/N$13))</f>
        <v>19.241333852365329</v>
      </c>
      <c r="P24">
        <f>(N14/N13)^(1/($A14-$A13))-1</f>
        <v>3.6680584823779006E-2</v>
      </c>
      <c r="Q24">
        <f>(N14/N$13)^(1/($A14-$A$13))-1</f>
        <v>3.6680584823779006E-2</v>
      </c>
      <c r="R24" s="1" t="e">
        <f t="shared" ref="R24:R30" si="20">($A14-$A13)/(1/LOG(2)*LOG(R14/R13))</f>
        <v>#NUM!</v>
      </c>
      <c r="S24" s="1" t="e">
        <f t="shared" ref="S24:S30" si="21">($A14-$A$13)/(1/LOG(2)*LOG(R14/R$13))</f>
        <v>#NUM!</v>
      </c>
      <c r="T24">
        <f>(R14/R13)^(1/($A14-$A13))-1</f>
        <v>-1</v>
      </c>
      <c r="U24">
        <f>(R14/R$13)^(1/($A14-$A$13))-1</f>
        <v>-1</v>
      </c>
      <c r="V24" s="1">
        <f t="shared" ref="V24:V30" si="22">($A14-$A13)/(1/LOG(2)*LOG(V14/V13))</f>
        <v>12.735319637336547</v>
      </c>
      <c r="W24" s="1">
        <f t="shared" ref="W24:W30" si="23">($A14-$A$13)/(1/LOG(2)*LOG(V14/V$13))</f>
        <v>12.735319637336547</v>
      </c>
      <c r="X24">
        <f>(V14/V13)^(1/($A14-$A13))-1</f>
        <v>5.5935551058439836E-2</v>
      </c>
      <c r="Y24">
        <f>(V14/V$13)^(1/($A14-$A$13))-1</f>
        <v>5.5935551058439836E-2</v>
      </c>
    </row>
    <row r="25" spans="1:25" x14ac:dyDescent="0.35">
      <c r="A25" s="2">
        <v>46</v>
      </c>
      <c r="B25" s="1">
        <f t="shared" si="12"/>
        <v>29.218352640235359</v>
      </c>
      <c r="C25" s="1">
        <f t="shared" si="13"/>
        <v>22.722455915024902</v>
      </c>
      <c r="D25">
        <f t="shared" ref="D25:D30" si="24">(B15/B14)^(1/($A15-$A14))-1</f>
        <v>2.4006635805350562E-2</v>
      </c>
      <c r="E25">
        <f t="shared" ref="E25:E30" si="25">(B15/B$13)^(1/($A15-$A$13))-1</f>
        <v>3.0974984242260417E-2</v>
      </c>
      <c r="F25" s="1">
        <f t="shared" si="14"/>
        <v>29.218805386260133</v>
      </c>
      <c r="G25" s="1">
        <f t="shared" si="15"/>
        <v>22.722197943689473</v>
      </c>
      <c r="H25">
        <f t="shared" ref="H25:H30" si="26">(F15/F14)^(1/($A15-$A14))-1</f>
        <v>2.4006259392348905E-2</v>
      </c>
      <c r="I25">
        <f t="shared" ref="I25:I30" si="27">(F15/F$13)^(1/($A15-$A$13))-1</f>
        <v>3.0975341300868431E-2</v>
      </c>
      <c r="J25" s="1">
        <f t="shared" si="16"/>
        <v>80.858706098912549</v>
      </c>
      <c r="K25" s="1">
        <f t="shared" si="17"/>
        <v>10.41893755319489</v>
      </c>
      <c r="L25">
        <f t="shared" ref="L25:L30" si="28">(J15/J14)^(1/($A15-$A14))-1</f>
        <v>8.609173500635503E-3</v>
      </c>
      <c r="M25">
        <f>(J15/J$13)^(1/($A15-$A$13))-1</f>
        <v>6.8790490043006747E-2</v>
      </c>
      <c r="N25" s="1">
        <f t="shared" si="18"/>
        <v>29.211782810485428</v>
      </c>
      <c r="O25" s="1">
        <f t="shared" si="19"/>
        <v>22.994992468842451</v>
      </c>
      <c r="P25">
        <f t="shared" ref="P25:P30" si="29">(N15/N14)^(1/($A15-$A14))-1</f>
        <v>2.4012099289867805E-2</v>
      </c>
      <c r="Q25">
        <f t="shared" ref="Q25:Q30" si="30">(N15/N$13)^(1/($A15-$A$13))-1</f>
        <v>3.0602308348643525E-2</v>
      </c>
      <c r="R25" s="1" t="e">
        <f t="shared" si="20"/>
        <v>#DIV/0!</v>
      </c>
      <c r="S25" s="1" t="e">
        <f t="shared" si="21"/>
        <v>#NUM!</v>
      </c>
      <c r="T25" t="e">
        <f t="shared" ref="T25:T30" si="31">(R15/R14)^(1/($A15-$A14))-1</f>
        <v>#DIV/0!</v>
      </c>
      <c r="U25">
        <f t="shared" ref="U25:U30" si="32">(R15/R$13)^(1/($A15-$A$13))-1</f>
        <v>-1</v>
      </c>
      <c r="V25" s="1">
        <f t="shared" si="22"/>
        <v>129.46888223195779</v>
      </c>
      <c r="W25" s="1">
        <f t="shared" si="23"/>
        <v>22.390444944741891</v>
      </c>
      <c r="X25">
        <f t="shared" ref="X25:X30" si="33">(V15/V14)^(1/($A15-$A14))-1</f>
        <v>5.368131407953447E-3</v>
      </c>
      <c r="Y25">
        <f t="shared" ref="Y25:Y30" si="34">(V15/V$13)^(1/($A15-$A$13))-1</f>
        <v>3.1441435486592395E-2</v>
      </c>
    </row>
    <row r="26" spans="1:25" x14ac:dyDescent="0.35">
      <c r="A26" s="2">
        <v>70</v>
      </c>
      <c r="B26" s="1">
        <f t="shared" si="12"/>
        <v>118.45146797941526</v>
      </c>
      <c r="C26" s="1">
        <f t="shared" si="13"/>
        <v>31.43180374259493</v>
      </c>
      <c r="D26">
        <f t="shared" si="24"/>
        <v>5.8688947685234805E-3</v>
      </c>
      <c r="E26">
        <f t="shared" si="25"/>
        <v>2.2297366790117845E-2</v>
      </c>
      <c r="F26" s="1">
        <f t="shared" si="14"/>
        <v>118.45905309097935</v>
      </c>
      <c r="G26" s="1">
        <f t="shared" si="15"/>
        <v>31.431662462686251</v>
      </c>
      <c r="H26">
        <f t="shared" si="26"/>
        <v>5.8685178738264732E-3</v>
      </c>
      <c r="I26">
        <f t="shared" si="27"/>
        <v>2.2297468122085107E-2</v>
      </c>
      <c r="J26" s="1">
        <f t="shared" si="16"/>
        <v>-57.826100151677025</v>
      </c>
      <c r="K26" s="1">
        <f t="shared" si="17"/>
        <v>17.5</v>
      </c>
      <c r="L26">
        <f t="shared" si="28"/>
        <v>-1.1915198083993772E-2</v>
      </c>
      <c r="M26">
        <f>(J16/J$13)^(1/($A16-$A$13))-1</f>
        <v>4.0403283221836395E-2</v>
      </c>
      <c r="N26" s="1">
        <f t="shared" si="18"/>
        <v>115.72013844268925</v>
      </c>
      <c r="O26" s="1">
        <f t="shared" si="19"/>
        <v>31.705304452521943</v>
      </c>
      <c r="P26">
        <f t="shared" si="29"/>
        <v>6.0078329278570042E-3</v>
      </c>
      <c r="Q26">
        <f t="shared" si="30"/>
        <v>2.2102912010878217E-2</v>
      </c>
      <c r="R26" s="1" t="e">
        <f t="shared" si="20"/>
        <v>#DIV/0!</v>
      </c>
      <c r="S26" s="1">
        <f t="shared" si="21"/>
        <v>144.20299019743018</v>
      </c>
      <c r="T26" t="e">
        <f t="shared" si="31"/>
        <v>#DIV/0!</v>
      </c>
      <c r="U26">
        <f t="shared" si="32"/>
        <v>4.8183171742317565E-3</v>
      </c>
      <c r="V26" s="1">
        <f t="shared" si="22"/>
        <v>-216.15524020801431</v>
      </c>
      <c r="W26" s="1">
        <f t="shared" si="23"/>
        <v>36.019042249424864</v>
      </c>
      <c r="X26">
        <f t="shared" si="33"/>
        <v>-3.2015740440326512E-3</v>
      </c>
      <c r="Y26">
        <f t="shared" si="34"/>
        <v>1.9430266774632221E-2</v>
      </c>
    </row>
    <row r="27" spans="1:25" x14ac:dyDescent="0.35">
      <c r="A27" s="2">
        <v>96</v>
      </c>
      <c r="B27" s="1">
        <f t="shared" si="12"/>
        <v>48.98856398439267</v>
      </c>
      <c r="C27" s="1">
        <f t="shared" si="13"/>
        <v>34.810611103895376</v>
      </c>
      <c r="D27">
        <f t="shared" si="24"/>
        <v>1.4249736263843626E-2</v>
      </c>
      <c r="E27">
        <f t="shared" si="25"/>
        <v>2.0111516214250669E-2</v>
      </c>
      <c r="F27" s="1">
        <f t="shared" si="14"/>
        <v>48.991898897882528</v>
      </c>
      <c r="G27" s="1">
        <f t="shared" si="15"/>
        <v>34.810940779070613</v>
      </c>
      <c r="H27">
        <f t="shared" si="26"/>
        <v>1.4248759396152444E-2</v>
      </c>
      <c r="I27">
        <f t="shared" si="27"/>
        <v>2.0111323846658813E-2</v>
      </c>
      <c r="J27" s="1">
        <f t="shared" si="16"/>
        <v>-14.626400287709968</v>
      </c>
      <c r="K27" s="1">
        <f t="shared" si="17"/>
        <v>43.19669158260983</v>
      </c>
      <c r="L27">
        <f t="shared" si="28"/>
        <v>-4.6284758980587259E-2</v>
      </c>
      <c r="M27">
        <f t="shared" ref="M27:M30" si="35">(J17/J$13)^(1/($A17-$A$13))-1</f>
        <v>1.6175735803843461E-2</v>
      </c>
      <c r="N27" s="1">
        <f t="shared" si="18"/>
        <v>48.16266870776758</v>
      </c>
      <c r="O27" s="1">
        <f t="shared" si="19"/>
        <v>34.938698022726641</v>
      </c>
      <c r="P27">
        <f t="shared" si="29"/>
        <v>1.4495853926540292E-2</v>
      </c>
      <c r="Q27">
        <f t="shared" si="30"/>
        <v>2.0037052675007105E-2</v>
      </c>
      <c r="R27" s="1" t="e">
        <f t="shared" si="20"/>
        <v>#NUM!</v>
      </c>
      <c r="S27" s="1" t="e">
        <f t="shared" si="21"/>
        <v>#NUM!</v>
      </c>
      <c r="T27">
        <f t="shared" si="31"/>
        <v>-1</v>
      </c>
      <c r="U27">
        <f t="shared" si="32"/>
        <v>-1</v>
      </c>
      <c r="V27" s="1">
        <f t="shared" si="22"/>
        <v>-7.1352980595009177</v>
      </c>
      <c r="W27" s="1">
        <f t="shared" si="23"/>
        <v>-56.455985458247518</v>
      </c>
      <c r="X27">
        <f t="shared" si="33"/>
        <v>-9.2574136593762901E-2</v>
      </c>
      <c r="Y27">
        <f t="shared" si="34"/>
        <v>-1.2202593303772824E-2</v>
      </c>
    </row>
    <row r="28" spans="1:25" x14ac:dyDescent="0.35">
      <c r="A28" s="2">
        <v>120</v>
      </c>
      <c r="B28" s="1">
        <f t="shared" si="12"/>
        <v>-42.816306244969937</v>
      </c>
      <c r="C28" s="1">
        <f t="shared" si="13"/>
        <v>54.613828849844879</v>
      </c>
      <c r="D28">
        <f t="shared" si="24"/>
        <v>-1.6058524520634165E-2</v>
      </c>
      <c r="E28">
        <f t="shared" si="25"/>
        <v>1.2772671356636067E-2</v>
      </c>
      <c r="F28" s="1">
        <f t="shared" si="14"/>
        <v>-41.697222668853918</v>
      </c>
      <c r="G28" s="1">
        <f t="shared" si="15"/>
        <v>54.990987135245398</v>
      </c>
      <c r="H28">
        <f t="shared" si="26"/>
        <v>-1.6485936391990919E-2</v>
      </c>
      <c r="I28">
        <f t="shared" si="27"/>
        <v>1.2684516134326085E-2</v>
      </c>
      <c r="J28" s="1">
        <f t="shared" si="16"/>
        <v>16.660042085702525</v>
      </c>
      <c r="K28" s="1">
        <f t="shared" si="17"/>
        <v>32.760345671664574</v>
      </c>
      <c r="L28">
        <f t="shared" si="28"/>
        <v>4.2483000331378085E-2</v>
      </c>
      <c r="M28">
        <f t="shared" si="35"/>
        <v>2.1383535533166853E-2</v>
      </c>
      <c r="N28" s="1">
        <f t="shared" si="18"/>
        <v>-999.91795276187872</v>
      </c>
      <c r="O28" s="1">
        <f t="shared" si="19"/>
        <v>44.058238477995509</v>
      </c>
      <c r="P28">
        <f t="shared" si="29"/>
        <v>-6.9296384561468027E-4</v>
      </c>
      <c r="Q28">
        <f t="shared" si="30"/>
        <v>1.585692909382086E-2</v>
      </c>
      <c r="R28" s="1" t="e">
        <f t="shared" si="20"/>
        <v>#DIV/0!</v>
      </c>
      <c r="S28" s="1" t="e">
        <f t="shared" si="21"/>
        <v>#DIV/0!</v>
      </c>
      <c r="T28" t="e">
        <f t="shared" si="31"/>
        <v>#DIV/0!</v>
      </c>
      <c r="U28">
        <f t="shared" si="32"/>
        <v>0</v>
      </c>
      <c r="V28" s="1">
        <f t="shared" si="22"/>
        <v>6.9375558316293082</v>
      </c>
      <c r="W28" s="1">
        <f t="shared" si="23"/>
        <v>68.220894005338195</v>
      </c>
      <c r="X28">
        <f t="shared" si="33"/>
        <v>0.10507400218808605</v>
      </c>
      <c r="Y28">
        <f t="shared" si="34"/>
        <v>1.0212127104884727E-2</v>
      </c>
    </row>
    <row r="29" spans="1:25" x14ac:dyDescent="0.35">
      <c r="A29" s="2">
        <v>168</v>
      </c>
      <c r="B29" s="1">
        <f t="shared" si="12"/>
        <v>-15.741258841570755</v>
      </c>
      <c r="C29" s="1">
        <f t="shared" si="13"/>
        <v>-197.16789243023993</v>
      </c>
      <c r="D29">
        <f t="shared" si="24"/>
        <v>-4.3078371035050411E-2</v>
      </c>
      <c r="E29">
        <f t="shared" si="25"/>
        <v>-3.5093453249418483E-3</v>
      </c>
      <c r="F29" s="1">
        <f t="shared" si="14"/>
        <v>-15.804384266078335</v>
      </c>
      <c r="G29" s="1">
        <f t="shared" si="15"/>
        <v>-196.50130620788411</v>
      </c>
      <c r="H29">
        <f t="shared" si="26"/>
        <v>-4.2910054301304568E-2</v>
      </c>
      <c r="I29">
        <f t="shared" si="27"/>
        <v>-3.5212290008379554E-3</v>
      </c>
      <c r="J29" s="1">
        <f t="shared" si="16"/>
        <v>72.84171344212875</v>
      </c>
      <c r="K29" s="1">
        <f t="shared" si="17"/>
        <v>38.871539810839536</v>
      </c>
      <c r="L29">
        <f t="shared" si="28"/>
        <v>9.5612192295981835E-3</v>
      </c>
      <c r="M29">
        <f t="shared" si="35"/>
        <v>1.7991674417963344E-2</v>
      </c>
      <c r="N29" s="1">
        <f t="shared" si="18"/>
        <v>-1059.8439114605478</v>
      </c>
      <c r="O29" s="1">
        <f t="shared" si="19"/>
        <v>62.724529828781101</v>
      </c>
      <c r="P29">
        <f t="shared" si="29"/>
        <v>-6.5379492236083969E-4</v>
      </c>
      <c r="Q29">
        <f t="shared" si="30"/>
        <v>1.1111939689911088E-2</v>
      </c>
      <c r="R29" s="1" t="e">
        <f t="shared" si="20"/>
        <v>#NUM!</v>
      </c>
      <c r="S29" s="1" t="e">
        <f t="shared" si="21"/>
        <v>#NUM!</v>
      </c>
      <c r="T29">
        <f t="shared" si="31"/>
        <v>-1</v>
      </c>
      <c r="U29">
        <f t="shared" si="32"/>
        <v>-1</v>
      </c>
      <c r="V29" s="1">
        <f t="shared" si="22"/>
        <v>260.26900701985022</v>
      </c>
      <c r="W29" s="1">
        <f t="shared" si="23"/>
        <v>86.445701398619676</v>
      </c>
      <c r="X29">
        <f t="shared" si="33"/>
        <v>2.6667446944961259E-3</v>
      </c>
      <c r="Y29">
        <f t="shared" si="34"/>
        <v>8.0505281478024937E-3</v>
      </c>
    </row>
    <row r="30" spans="1:25" x14ac:dyDescent="0.35">
      <c r="A30" s="2">
        <v>264</v>
      </c>
      <c r="B30" s="1">
        <f t="shared" si="12"/>
        <v>-32.038722033450462</v>
      </c>
      <c r="C30" s="1">
        <f t="shared" si="13"/>
        <v>-68.599226304756741</v>
      </c>
      <c r="D30">
        <f t="shared" si="24"/>
        <v>-2.1402319220360844E-2</v>
      </c>
      <c r="E30">
        <f t="shared" si="25"/>
        <v>-1.0053423326324307E-2</v>
      </c>
      <c r="F30" s="1">
        <f t="shared" si="14"/>
        <v>-32.036384101202977</v>
      </c>
      <c r="G30" s="1">
        <f t="shared" si="15"/>
        <v>-68.543850562238319</v>
      </c>
      <c r="H30">
        <f t="shared" si="26"/>
        <v>-2.1403864270384876E-2</v>
      </c>
      <c r="I30">
        <f t="shared" si="27"/>
        <v>-1.0061504367016583E-2</v>
      </c>
      <c r="J30" s="1">
        <f t="shared" si="16"/>
        <v>-41.344949575045739</v>
      </c>
      <c r="K30" s="1">
        <f t="shared" si="17"/>
        <v>132</v>
      </c>
      <c r="L30">
        <f t="shared" si="28"/>
        <v>-1.6625228066065145E-2</v>
      </c>
      <c r="M30">
        <f t="shared" si="35"/>
        <v>5.2649262729067559E-3</v>
      </c>
      <c r="N30" s="1">
        <f t="shared" si="18"/>
        <v>-1509.3997176378448</v>
      </c>
      <c r="O30" s="1">
        <f t="shared" si="19"/>
        <v>100.96465049736783</v>
      </c>
      <c r="P30">
        <f t="shared" si="29"/>
        <v>-4.5911499992346005E-4</v>
      </c>
      <c r="Q30">
        <f t="shared" si="30"/>
        <v>6.8888659977808242E-3</v>
      </c>
      <c r="R30" s="1" t="e">
        <f t="shared" si="20"/>
        <v>#DIV/0!</v>
      </c>
      <c r="S30" s="1">
        <f t="shared" si="21"/>
        <v>-199.70829050463195</v>
      </c>
      <c r="T30" t="e">
        <f t="shared" si="31"/>
        <v>#DIV/0!</v>
      </c>
      <c r="U30">
        <f t="shared" si="32"/>
        <v>-3.464781969048758E-3</v>
      </c>
      <c r="V30" s="1">
        <f t="shared" si="22"/>
        <v>-46.626982495696147</v>
      </c>
      <c r="W30" s="1">
        <f t="shared" si="23"/>
        <v>-2286.1652358660253</v>
      </c>
      <c r="X30">
        <f t="shared" si="33"/>
        <v>-1.4755844943042717E-2</v>
      </c>
      <c r="Y30">
        <f t="shared" si="34"/>
        <v>-3.0314611644877143E-4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5" s="3" customFormat="1" x14ac:dyDescent="0.35">
      <c r="A33" s="4">
        <v>0</v>
      </c>
      <c r="B33" s="5">
        <f>F13/V13</f>
        <v>56724.846153846156</v>
      </c>
      <c r="C33" s="5">
        <f>G13/W13</f>
        <v>7768.3333333333348</v>
      </c>
      <c r="D33" s="5">
        <f>F13/(F13+V13)*100</f>
        <v>99.998237135154781</v>
      </c>
      <c r="E33" s="5">
        <f>V13/(F13+V13)*100</f>
        <v>1.7628648452204668E-3</v>
      </c>
    </row>
    <row r="34" spans="1:5" s="3" customFormat="1" x14ac:dyDescent="0.35">
      <c r="A34" s="4">
        <v>24</v>
      </c>
      <c r="B34" s="5">
        <f t="shared" ref="B34:C40" si="36">F14/V14</f>
        <v>37088.458333333336</v>
      </c>
      <c r="C34" s="5">
        <f t="shared" si="36"/>
        <v>21747.25</v>
      </c>
      <c r="D34" s="5">
        <f>F14/(F14+V14)*100</f>
        <v>99.99730381611127</v>
      </c>
      <c r="E34" s="5">
        <f>V14/(F14+V14)*100</f>
        <v>2.696183888728491E-3</v>
      </c>
    </row>
    <row r="35" spans="1:5" s="3" customFormat="1" x14ac:dyDescent="0.35">
      <c r="A35" s="4">
        <v>46</v>
      </c>
      <c r="B35" s="5">
        <f t="shared" si="36"/>
        <v>55557.629629629628</v>
      </c>
      <c r="C35" s="5">
        <f t="shared" si="36"/>
        <v>49733.333333333336</v>
      </c>
      <c r="D35" s="5">
        <f>F15/(F15+V15)*100</f>
        <v>99.998200099594499</v>
      </c>
      <c r="E35" s="5">
        <f>V15/(F15+V15)*100</f>
        <v>1.7999004055108952E-3</v>
      </c>
    </row>
    <row r="36" spans="1:5" s="3" customFormat="1" x14ac:dyDescent="0.35">
      <c r="A36" s="4">
        <v>70</v>
      </c>
      <c r="B36" s="5">
        <f t="shared" si="36"/>
        <v>69048.88</v>
      </c>
      <c r="C36" s="5">
        <f t="shared" si="36"/>
        <v>20289.428571428572</v>
      </c>
      <c r="D36" s="5">
        <f>F16/(F16+V16)*100</f>
        <v>99.998551771559917</v>
      </c>
      <c r="E36" s="5">
        <f>V16/(F16+V16)*100</f>
        <v>1.4482284400783897E-3</v>
      </c>
    </row>
    <row r="37" spans="1:5" s="3" customFormat="1" x14ac:dyDescent="0.35">
      <c r="A37" s="4">
        <v>96</v>
      </c>
      <c r="B37" s="5">
        <f t="shared" si="36"/>
        <v>1246876</v>
      </c>
      <c r="C37" s="5">
        <f t="shared" si="36"/>
        <v>38614</v>
      </c>
      <c r="D37" s="5">
        <f>F17/(F17+V17)*100</f>
        <v>99.999919799627392</v>
      </c>
      <c r="E37" s="5">
        <f>V17/(F17+V17)*100</f>
        <v>8.0200372610931148E-5</v>
      </c>
    </row>
    <row r="38" spans="1:5" s="3" customFormat="1" x14ac:dyDescent="0.35">
      <c r="A38" s="4">
        <v>120</v>
      </c>
      <c r="B38" s="5">
        <f t="shared" si="36"/>
        <v>76061.409090909088</v>
      </c>
      <c r="C38" s="5">
        <f t="shared" si="36"/>
        <v>7768.833333333333</v>
      </c>
      <c r="D38" s="5">
        <f>F18/(F18+V18)*100</f>
        <v>99.998685290129572</v>
      </c>
      <c r="E38" s="5">
        <f>V18/(F18+V18)*100</f>
        <v>1.3147098704233903E-3</v>
      </c>
    </row>
    <row r="39" spans="1:5" s="3" customFormat="1" x14ac:dyDescent="0.35">
      <c r="A39" s="4">
        <v>168</v>
      </c>
      <c r="B39" s="5">
        <f t="shared" si="36"/>
        <v>8154.16</v>
      </c>
      <c r="C39" s="5">
        <f t="shared" si="36"/>
        <v>1765.1999999999998</v>
      </c>
      <c r="D39" s="5">
        <f>F19/(F19+V19)*100</f>
        <v>99.987737824886324</v>
      </c>
      <c r="E39" s="5">
        <f>V19/(F19+V19)*100</f>
        <v>1.2262175113670361E-2</v>
      </c>
    </row>
    <row r="40" spans="1:5" s="3" customFormat="1" x14ac:dyDescent="0.35">
      <c r="A40" s="4">
        <v>264</v>
      </c>
      <c r="B40" s="5">
        <f t="shared" si="36"/>
        <v>4257</v>
      </c>
      <c r="C40" s="5">
        <f>G20/W20</f>
        <v>123.00000000000001</v>
      </c>
      <c r="D40" s="5">
        <f>F20/(F20+V20)*100</f>
        <v>99.97651479567871</v>
      </c>
      <c r="E40" s="5">
        <f>V20/(F20+V20)*100</f>
        <v>2.3485204321277597E-2</v>
      </c>
    </row>
    <row r="41" spans="1:5" s="3" customFormat="1" x14ac:dyDescent="0.35"/>
    <row r="42" spans="1:5" s="3" customFormat="1" ht="43.5" x14ac:dyDescent="0.35">
      <c r="A42" s="3" t="s">
        <v>0</v>
      </c>
      <c r="B42" s="3" t="s">
        <v>56</v>
      </c>
      <c r="C42" s="3" t="s">
        <v>57</v>
      </c>
      <c r="D42" s="3" t="s">
        <v>60</v>
      </c>
      <c r="E42" s="3" t="s">
        <v>47</v>
      </c>
    </row>
    <row r="43" spans="1:5" s="3" customFormat="1" x14ac:dyDescent="0.35">
      <c r="A43" s="4">
        <v>0</v>
      </c>
      <c r="B43" s="5">
        <f>D2/L2</f>
        <v>71411.8</v>
      </c>
      <c r="C43" s="5">
        <f>E2/M2</f>
        <v>47545.5</v>
      </c>
      <c r="D43" s="5">
        <f>AVERAGE(B43:C43)</f>
        <v>59478.65</v>
      </c>
      <c r="E43" s="5">
        <f>_xlfn.STDEV.S(B43:C43)</f>
        <v>16876.022571832505</v>
      </c>
    </row>
    <row r="44" spans="1:5" s="3" customFormat="1" x14ac:dyDescent="0.35">
      <c r="A44" s="4">
        <v>24</v>
      </c>
      <c r="B44" s="5">
        <f>D3/L3</f>
        <v>40156.699999999997</v>
      </c>
      <c r="C44" s="5">
        <f t="shared" ref="B44:C44" si="37">E3/M3</f>
        <v>34896.857142857145</v>
      </c>
      <c r="D44" s="5">
        <f t="shared" ref="D44:D50" si="38">AVERAGE(B44:C44)</f>
        <v>37526.778571428571</v>
      </c>
      <c r="E44" s="5">
        <f t="shared" ref="E44:E50" si="39">_xlfn.STDEV.S(B44:C44)</f>
        <v>3719.2705522613355</v>
      </c>
    </row>
    <row r="45" spans="1:5" s="3" customFormat="1" x14ac:dyDescent="0.35">
      <c r="A45" s="4">
        <v>46</v>
      </c>
      <c r="B45" s="5">
        <f t="shared" ref="B45:C45" si="40">D4/L4</f>
        <v>68719</v>
      </c>
      <c r="C45" s="5">
        <f t="shared" si="40"/>
        <v>45028.533333333333</v>
      </c>
      <c r="D45" s="5">
        <f t="shared" si="38"/>
        <v>56873.766666666663</v>
      </c>
      <c r="E45" s="5">
        <f t="shared" si="39"/>
        <v>16751.689629473905</v>
      </c>
    </row>
    <row r="46" spans="1:5" s="3" customFormat="1" x14ac:dyDescent="0.35">
      <c r="A46" s="4">
        <v>70</v>
      </c>
      <c r="B46" s="5">
        <f t="shared" ref="B46:C46" si="41">D5/L5</f>
        <v>88010.888888888891</v>
      </c>
      <c r="C46" s="5">
        <f t="shared" si="41"/>
        <v>58382.75</v>
      </c>
      <c r="D46" s="5">
        <f t="shared" si="38"/>
        <v>73196.819444444438</v>
      </c>
      <c r="E46" s="5">
        <f t="shared" si="39"/>
        <v>20950.257922270252</v>
      </c>
    </row>
    <row r="47" spans="1:5" s="3" customFormat="1" x14ac:dyDescent="0.35">
      <c r="A47" s="4">
        <v>96</v>
      </c>
      <c r="B47" s="5" t="e">
        <f t="shared" ref="B47:C47" si="42">D6/L6</f>
        <v>#DIV/0!</v>
      </c>
      <c r="C47" s="5">
        <f t="shared" si="42"/>
        <v>604131</v>
      </c>
      <c r="D47" s="5" t="e">
        <f>AVERAGE(B47:C47)</f>
        <v>#DIV/0!</v>
      </c>
      <c r="E47" s="5" t="e">
        <f t="shared" si="39"/>
        <v>#DIV/0!</v>
      </c>
    </row>
    <row r="48" spans="1:5" s="3" customFormat="1" x14ac:dyDescent="0.35">
      <c r="A48" s="4">
        <v>120</v>
      </c>
      <c r="B48" s="5">
        <f t="shared" ref="B48:C48" si="43">D7/L7</f>
        <v>383378</v>
      </c>
      <c r="C48" s="5">
        <f t="shared" si="43"/>
        <v>45329.75</v>
      </c>
      <c r="D48" s="5">
        <f t="shared" si="38"/>
        <v>214353.875</v>
      </c>
      <c r="E48" s="5">
        <f t="shared" si="39"/>
        <v>239036.20994324531</v>
      </c>
    </row>
    <row r="49" spans="1:5" s="3" customFormat="1" x14ac:dyDescent="0.35">
      <c r="A49" s="4">
        <v>168</v>
      </c>
      <c r="B49" s="5">
        <f t="shared" ref="B49:C49" si="44">D8/L8</f>
        <v>9751.4</v>
      </c>
      <c r="C49" s="5">
        <f t="shared" si="44"/>
        <v>7089.333333333333</v>
      </c>
      <c r="D49" s="5">
        <f t="shared" si="38"/>
        <v>8420.3666666666668</v>
      </c>
      <c r="E49" s="5">
        <f t="shared" si="39"/>
        <v>1882.365391970658</v>
      </c>
    </row>
    <row r="50" spans="1:5" s="3" customFormat="1" x14ac:dyDescent="0.35">
      <c r="A50" s="4">
        <v>264</v>
      </c>
      <c r="B50" s="5">
        <f t="shared" ref="B50:C50" si="45">D9/L9</f>
        <v>2067</v>
      </c>
      <c r="C50" s="5" t="e">
        <f t="shared" si="45"/>
        <v>#DIV/0!</v>
      </c>
      <c r="D50" s="5" t="e">
        <f t="shared" si="38"/>
        <v>#DIV/0!</v>
      </c>
      <c r="E50" s="5" t="e">
        <f t="shared" si="39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4E95-2ED5-4242-9EBA-E295B1831EFA}">
  <dimension ref="A1:Y50"/>
  <sheetViews>
    <sheetView topLeftCell="A37" workbookViewId="0">
      <selection activeCell="D43" sqref="D43:E5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</row>
    <row r="2" spans="1:23" x14ac:dyDescent="0.35">
      <c r="A2">
        <v>0</v>
      </c>
      <c r="B2">
        <v>709970</v>
      </c>
      <c r="C2">
        <v>751296</v>
      </c>
      <c r="D2">
        <v>710000</v>
      </c>
      <c r="E2">
        <v>751312</v>
      </c>
      <c r="F2">
        <v>30</v>
      </c>
      <c r="G2">
        <v>16</v>
      </c>
      <c r="H2">
        <v>719722</v>
      </c>
      <c r="I2">
        <v>769112</v>
      </c>
      <c r="J2">
        <v>222</v>
      </c>
      <c r="K2">
        <v>180</v>
      </c>
      <c r="L2">
        <v>252</v>
      </c>
      <c r="M2">
        <v>196</v>
      </c>
    </row>
    <row r="3" spans="1:23" x14ac:dyDescent="0.35">
      <c r="A3">
        <v>24</v>
      </c>
      <c r="B3">
        <v>1646256</v>
      </c>
      <c r="C3">
        <v>2014280</v>
      </c>
      <c r="D3">
        <v>1646458</v>
      </c>
      <c r="E3">
        <v>2014412</v>
      </c>
      <c r="F3">
        <v>206</v>
      </c>
      <c r="G3">
        <v>136</v>
      </c>
      <c r="H3">
        <v>1652114</v>
      </c>
      <c r="I3">
        <v>2028116</v>
      </c>
      <c r="J3">
        <v>428</v>
      </c>
      <c r="K3">
        <v>456</v>
      </c>
      <c r="L3">
        <v>634</v>
      </c>
      <c r="M3">
        <v>592</v>
      </c>
    </row>
    <row r="4" spans="1:23" x14ac:dyDescent="0.35">
      <c r="A4">
        <v>46</v>
      </c>
      <c r="B4">
        <v>3059032</v>
      </c>
      <c r="C4">
        <v>2744356</v>
      </c>
      <c r="D4">
        <v>3059104</v>
      </c>
      <c r="E4">
        <v>2744488</v>
      </c>
      <c r="F4">
        <v>80</v>
      </c>
      <c r="G4">
        <v>136</v>
      </c>
      <c r="H4">
        <v>3075432</v>
      </c>
      <c r="I4">
        <v>2751636</v>
      </c>
      <c r="J4">
        <v>688</v>
      </c>
      <c r="K4">
        <v>452</v>
      </c>
      <c r="L4">
        <v>768</v>
      </c>
      <c r="M4">
        <v>588</v>
      </c>
    </row>
    <row r="5" spans="1:23" x14ac:dyDescent="0.35">
      <c r="A5">
        <v>70</v>
      </c>
      <c r="B5">
        <v>3218032</v>
      </c>
      <c r="C5">
        <v>3990968</v>
      </c>
      <c r="D5">
        <v>3218424</v>
      </c>
      <c r="E5">
        <v>3991264</v>
      </c>
      <c r="F5">
        <v>304</v>
      </c>
      <c r="G5">
        <v>404</v>
      </c>
      <c r="H5">
        <v>3236468</v>
      </c>
      <c r="I5">
        <v>4025800</v>
      </c>
      <c r="J5">
        <v>876</v>
      </c>
      <c r="K5">
        <v>1224</v>
      </c>
      <c r="L5">
        <v>1276</v>
      </c>
      <c r="M5">
        <v>1528</v>
      </c>
    </row>
    <row r="6" spans="1:23" x14ac:dyDescent="0.35">
      <c r="A6">
        <v>96</v>
      </c>
      <c r="B6">
        <v>5368960</v>
      </c>
      <c r="C6">
        <v>4751216</v>
      </c>
      <c r="D6">
        <v>5369320</v>
      </c>
      <c r="E6">
        <v>4751704</v>
      </c>
      <c r="F6">
        <v>360</v>
      </c>
      <c r="G6">
        <v>504</v>
      </c>
      <c r="H6">
        <v>5488400</v>
      </c>
      <c r="I6">
        <v>4787712</v>
      </c>
      <c r="J6">
        <v>3260</v>
      </c>
      <c r="K6">
        <v>1680</v>
      </c>
      <c r="L6">
        <v>3620</v>
      </c>
      <c r="M6">
        <v>2176</v>
      </c>
    </row>
    <row r="7" spans="1:23" x14ac:dyDescent="0.35">
      <c r="A7">
        <v>120</v>
      </c>
      <c r="B7">
        <v>4559520</v>
      </c>
      <c r="C7">
        <v>5385160</v>
      </c>
      <c r="D7">
        <v>4556216</v>
      </c>
      <c r="E7">
        <v>5380820</v>
      </c>
      <c r="F7">
        <v>664</v>
      </c>
      <c r="G7">
        <v>340</v>
      </c>
      <c r="H7">
        <v>4669312</v>
      </c>
      <c r="I7">
        <v>5569080</v>
      </c>
      <c r="J7">
        <v>2656</v>
      </c>
      <c r="K7">
        <v>3760</v>
      </c>
      <c r="L7">
        <v>3320</v>
      </c>
      <c r="M7">
        <v>4100</v>
      </c>
    </row>
    <row r="8" spans="1:23" x14ac:dyDescent="0.35">
      <c r="A8">
        <v>168</v>
      </c>
      <c r="B8">
        <v>212592</v>
      </c>
      <c r="C8">
        <v>244300</v>
      </c>
      <c r="D8">
        <v>210200</v>
      </c>
      <c r="E8">
        <v>241020</v>
      </c>
      <c r="F8">
        <v>160</v>
      </c>
      <c r="G8">
        <v>180</v>
      </c>
      <c r="H8">
        <v>4755624</v>
      </c>
      <c r="I8">
        <v>5263380</v>
      </c>
      <c r="J8">
        <v>4104</v>
      </c>
      <c r="K8">
        <v>4740</v>
      </c>
      <c r="L8">
        <v>4264</v>
      </c>
      <c r="M8">
        <v>4920</v>
      </c>
    </row>
    <row r="9" spans="1:23" x14ac:dyDescent="0.35">
      <c r="A9">
        <v>264</v>
      </c>
      <c r="B9">
        <v>26064</v>
      </c>
      <c r="C9">
        <v>28780</v>
      </c>
      <c r="D9">
        <v>26296</v>
      </c>
      <c r="E9">
        <v>29000</v>
      </c>
      <c r="F9">
        <v>360</v>
      </c>
      <c r="G9">
        <v>320</v>
      </c>
      <c r="H9">
        <v>4874848</v>
      </c>
      <c r="I9">
        <v>5432540</v>
      </c>
      <c r="J9">
        <v>4352</v>
      </c>
      <c r="K9">
        <v>4220</v>
      </c>
      <c r="L9">
        <v>4688</v>
      </c>
      <c r="M9">
        <v>4520</v>
      </c>
    </row>
    <row r="11" spans="1:23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3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3" x14ac:dyDescent="0.35">
      <c r="A13" s="2">
        <v>0</v>
      </c>
      <c r="B13" s="2">
        <f>AVERAGE(B2:C2)</f>
        <v>730633</v>
      </c>
      <c r="C13" s="2">
        <f>_xlfn.STDEV.S(B2:C2)</f>
        <v>29221.894839315264</v>
      </c>
      <c r="F13" s="2">
        <f>AVERAGE(D2:E2)</f>
        <v>730656</v>
      </c>
      <c r="G13" s="2">
        <f>_xlfn.STDEV.S(D2:E2)</f>
        <v>29211.995344378651</v>
      </c>
      <c r="J13" s="2">
        <f>AVERAGE(F2:G2)</f>
        <v>23</v>
      </c>
      <c r="K13" s="2">
        <f>_xlfn.STDEV.S(F2:G2)</f>
        <v>9.8994949366116654</v>
      </c>
      <c r="N13" s="2">
        <f>AVERAGE(H2:I2)</f>
        <v>744417</v>
      </c>
      <c r="O13" s="2">
        <f>_xlfn.STDEV.S(H2:I2)</f>
        <v>34924.003922803582</v>
      </c>
      <c r="R13" s="2">
        <f>AVERAGE(J2:K2)</f>
        <v>201</v>
      </c>
      <c r="S13" s="2">
        <f>_xlfn.STDEV.S(J2:K2)</f>
        <v>29.698484809834994</v>
      </c>
      <c r="V13" s="2">
        <f>AVERAGE(L2:M2)</f>
        <v>224</v>
      </c>
      <c r="W13" s="2">
        <f>_xlfn.STDEV.S(L2:M2)</f>
        <v>39.597979746446661</v>
      </c>
    </row>
    <row r="14" spans="1:23" x14ac:dyDescent="0.35">
      <c r="A14" s="2">
        <v>24</v>
      </c>
      <c r="B14" s="2">
        <f t="shared" ref="B14:B20" si="0">AVERAGE(B3:C3)</f>
        <v>1830268</v>
      </c>
      <c r="C14" s="2">
        <f>_xlfn.STDEV.S(B3:C3)</f>
        <v>260232.26603939797</v>
      </c>
      <c r="F14" s="2">
        <f t="shared" ref="F14:F20" si="1">AVERAGE(D3:E3)</f>
        <v>1830435</v>
      </c>
      <c r="G14" s="2">
        <f t="shared" ref="G14:G20" si="2">_xlfn.STDEV.S(D3:E3)</f>
        <v>260182.7685647149</v>
      </c>
      <c r="J14" s="2">
        <f t="shared" ref="J14:J20" si="3">AVERAGE(F3:G3)</f>
        <v>171</v>
      </c>
      <c r="K14" s="2">
        <f t="shared" ref="K14:K20" si="4">_xlfn.STDEV.S(F3:G3)</f>
        <v>49.497474683058329</v>
      </c>
      <c r="N14" s="2">
        <f t="shared" ref="N14:N20" si="5">AVERAGE(H3:I3)</f>
        <v>1840115</v>
      </c>
      <c r="O14" s="2">
        <f t="shared" ref="O14:O20" si="6">_xlfn.STDEV.S(H3:I3)</f>
        <v>265873.56393970427</v>
      </c>
      <c r="R14" s="2">
        <f t="shared" ref="R14:R20" si="7">AVERAGE(J3:K3)</f>
        <v>442</v>
      </c>
      <c r="S14" s="2">
        <f t="shared" ref="S14:S20" si="8">_xlfn.STDEV.S(J3:K3)</f>
        <v>19.798989873223331</v>
      </c>
      <c r="V14" s="2">
        <f t="shared" ref="V14:V20" si="9">AVERAGE(L3:M3)</f>
        <v>613</v>
      </c>
      <c r="W14" s="2">
        <f t="shared" ref="W14:W20" si="10">_xlfn.STDEV.S(L3:M3)</f>
        <v>29.698484809834994</v>
      </c>
    </row>
    <row r="15" spans="1:23" x14ac:dyDescent="0.35">
      <c r="A15" s="2">
        <v>46</v>
      </c>
      <c r="B15" s="2">
        <f t="shared" si="0"/>
        <v>2901694</v>
      </c>
      <c r="C15" s="2">
        <f t="shared" ref="C15:C20" si="11">_xlfn.STDEV.S(B4:C4)</f>
        <v>222509.53347665802</v>
      </c>
      <c r="F15" s="2">
        <f t="shared" si="1"/>
        <v>2901796</v>
      </c>
      <c r="G15" s="2">
        <f t="shared" si="2"/>
        <v>222467.10706978684</v>
      </c>
      <c r="J15" s="2">
        <f t="shared" si="3"/>
        <v>108</v>
      </c>
      <c r="K15" s="2">
        <f t="shared" si="4"/>
        <v>39.597979746446661</v>
      </c>
      <c r="N15" s="2">
        <f t="shared" si="5"/>
        <v>2913534</v>
      </c>
      <c r="O15" s="2">
        <f t="shared" si="6"/>
        <v>228958.34732107935</v>
      </c>
      <c r="R15" s="2">
        <f t="shared" si="7"/>
        <v>570</v>
      </c>
      <c r="S15" s="2">
        <f t="shared" si="8"/>
        <v>166.87720036002523</v>
      </c>
      <c r="V15" s="2">
        <f t="shared" si="9"/>
        <v>678</v>
      </c>
      <c r="W15" s="2">
        <f t="shared" si="10"/>
        <v>127.27922061357856</v>
      </c>
    </row>
    <row r="16" spans="1:23" x14ac:dyDescent="0.35">
      <c r="A16" s="2">
        <v>70</v>
      </c>
      <c r="B16" s="2">
        <f t="shared" si="0"/>
        <v>3604500</v>
      </c>
      <c r="C16" s="2">
        <f t="shared" si="11"/>
        <v>546548.28702320531</v>
      </c>
      <c r="F16" s="2">
        <f t="shared" si="1"/>
        <v>3604844</v>
      </c>
      <c r="G16" s="2">
        <f t="shared" si="2"/>
        <v>546480.40477221133</v>
      </c>
      <c r="J16" s="2">
        <f t="shared" si="3"/>
        <v>354</v>
      </c>
      <c r="K16" s="2">
        <f t="shared" si="4"/>
        <v>70.710678118654755</v>
      </c>
      <c r="N16" s="2">
        <f t="shared" si="5"/>
        <v>3631134</v>
      </c>
      <c r="O16" s="2">
        <f t="shared" si="6"/>
        <v>558142.00980753999</v>
      </c>
      <c r="R16" s="2">
        <f t="shared" si="7"/>
        <v>1050</v>
      </c>
      <c r="S16" s="2">
        <f t="shared" si="8"/>
        <v>246.07315985291854</v>
      </c>
      <c r="V16" s="2">
        <f t="shared" si="9"/>
        <v>1402</v>
      </c>
      <c r="W16" s="2">
        <f t="shared" si="10"/>
        <v>178.19090885900997</v>
      </c>
    </row>
    <row r="17" spans="1:25" x14ac:dyDescent="0.35">
      <c r="A17" s="2">
        <v>96</v>
      </c>
      <c r="B17" s="2">
        <f t="shared" si="0"/>
        <v>5060088</v>
      </c>
      <c r="C17" s="2">
        <f t="shared" si="11"/>
        <v>436810.97143730259</v>
      </c>
      <c r="F17" s="2">
        <f t="shared" si="1"/>
        <v>5060512</v>
      </c>
      <c r="G17" s="2">
        <f t="shared" si="2"/>
        <v>436720.46176931076</v>
      </c>
      <c r="J17" s="2">
        <f t="shared" si="3"/>
        <v>432</v>
      </c>
      <c r="K17" s="2">
        <f t="shared" si="4"/>
        <v>101.82337649086284</v>
      </c>
      <c r="N17" s="2">
        <f t="shared" si="5"/>
        <v>5138056</v>
      </c>
      <c r="O17" s="2">
        <f t="shared" si="6"/>
        <v>495461.2362960396</v>
      </c>
      <c r="R17" s="2">
        <f t="shared" si="7"/>
        <v>2470</v>
      </c>
      <c r="S17" s="2">
        <f t="shared" si="8"/>
        <v>1117.228714274745</v>
      </c>
      <c r="V17" s="2">
        <f t="shared" si="9"/>
        <v>2898</v>
      </c>
      <c r="W17" s="2">
        <f t="shared" si="10"/>
        <v>1021.0621920333746</v>
      </c>
    </row>
    <row r="18" spans="1:25" x14ac:dyDescent="0.35">
      <c r="A18" s="2">
        <v>120</v>
      </c>
      <c r="B18" s="2">
        <f t="shared" si="0"/>
        <v>4972340</v>
      </c>
      <c r="C18" s="2">
        <f t="shared" si="11"/>
        <v>583815.64281886106</v>
      </c>
      <c r="F18" s="2">
        <f t="shared" si="1"/>
        <v>4968518</v>
      </c>
      <c r="G18" s="2">
        <f t="shared" si="2"/>
        <v>583083.08019355184</v>
      </c>
      <c r="J18" s="2">
        <f t="shared" si="3"/>
        <v>502</v>
      </c>
      <c r="K18" s="2">
        <f t="shared" si="4"/>
        <v>229.1025971044414</v>
      </c>
      <c r="N18" s="2">
        <f t="shared" si="5"/>
        <v>5119196</v>
      </c>
      <c r="O18" s="2">
        <f t="shared" si="6"/>
        <v>636232.05429465754</v>
      </c>
      <c r="R18" s="2">
        <f t="shared" si="7"/>
        <v>3208</v>
      </c>
      <c r="S18" s="2">
        <f t="shared" si="8"/>
        <v>780.64588642994852</v>
      </c>
      <c r="V18" s="2">
        <f t="shared" si="9"/>
        <v>3710</v>
      </c>
      <c r="W18" s="2">
        <f t="shared" si="10"/>
        <v>551.54328932550709</v>
      </c>
    </row>
    <row r="19" spans="1:25" x14ac:dyDescent="0.35">
      <c r="A19" s="2">
        <v>168</v>
      </c>
      <c r="B19" s="2">
        <f t="shared" si="0"/>
        <v>228446</v>
      </c>
      <c r="C19" s="2">
        <f t="shared" si="11"/>
        <v>22420.941817863048</v>
      </c>
      <c r="F19" s="2">
        <f t="shared" si="1"/>
        <v>225610</v>
      </c>
      <c r="G19" s="2">
        <f t="shared" si="2"/>
        <v>21793.030996169393</v>
      </c>
      <c r="J19" s="2">
        <f t="shared" si="3"/>
        <v>170</v>
      </c>
      <c r="K19" s="2">
        <f t="shared" si="4"/>
        <v>14.142135623730951</v>
      </c>
      <c r="N19" s="2">
        <f t="shared" si="5"/>
        <v>5009502</v>
      </c>
      <c r="O19" s="2">
        <f t="shared" si="6"/>
        <v>359037.7107881566</v>
      </c>
      <c r="R19" s="2">
        <f t="shared" si="7"/>
        <v>4422</v>
      </c>
      <c r="S19" s="2">
        <f t="shared" si="8"/>
        <v>449.71991283464422</v>
      </c>
      <c r="V19" s="2">
        <f t="shared" si="9"/>
        <v>4592</v>
      </c>
      <c r="W19" s="2">
        <f t="shared" si="10"/>
        <v>463.86204845837517</v>
      </c>
    </row>
    <row r="20" spans="1:25" x14ac:dyDescent="0.35">
      <c r="A20" s="2">
        <v>264</v>
      </c>
      <c r="B20" s="2">
        <f t="shared" si="0"/>
        <v>27422</v>
      </c>
      <c r="C20" s="2">
        <f t="shared" si="11"/>
        <v>1920.5020177026631</v>
      </c>
      <c r="F20" s="2">
        <f t="shared" si="1"/>
        <v>27648</v>
      </c>
      <c r="G20" s="2">
        <f t="shared" si="2"/>
        <v>1912.0167363284245</v>
      </c>
      <c r="J20" s="2">
        <f t="shared" si="3"/>
        <v>340</v>
      </c>
      <c r="K20" s="2">
        <f t="shared" si="4"/>
        <v>28.284271247461902</v>
      </c>
      <c r="N20" s="2">
        <f t="shared" si="5"/>
        <v>5153694</v>
      </c>
      <c r="O20" s="2">
        <f t="shared" si="6"/>
        <v>394347.79501348804</v>
      </c>
      <c r="R20" s="2">
        <f t="shared" si="7"/>
        <v>4286</v>
      </c>
      <c r="S20" s="2">
        <f t="shared" si="8"/>
        <v>93.338095116624274</v>
      </c>
      <c r="V20" s="2">
        <f t="shared" si="9"/>
        <v>4604</v>
      </c>
      <c r="W20" s="2">
        <f t="shared" si="10"/>
        <v>118.79393923933998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18.115448510631694</v>
      </c>
      <c r="C24" s="1">
        <f t="shared" ref="C24:C30" si="13">($A14-$A$13)/(1/LOG(2)*LOG(B14/B$13))</f>
        <v>18.115448510631694</v>
      </c>
      <c r="D24">
        <f>(B14/B13)^(1/($A14-$A13))-1</f>
        <v>3.9004212750683775E-2</v>
      </c>
      <c r="E24">
        <f>(B14/B$13)^(1/($A14-$A$13))-1</f>
        <v>3.9004212750683775E-2</v>
      </c>
      <c r="F24" s="1">
        <f t="shared" ref="F24:F30" si="14">($A14-$A13)/(1/LOG(2)*LOG(F14/F13))</f>
        <v>18.114269695742152</v>
      </c>
      <c r="G24" s="1">
        <f t="shared" ref="G24:G30" si="15">($A14-$A$13)/(1/LOG(2)*LOG(F14/F$13))</f>
        <v>18.114269695742152</v>
      </c>
      <c r="H24">
        <f>(F14/F13)^(1/($A14-$A13))-1</f>
        <v>3.9006799885154431E-2</v>
      </c>
      <c r="I24">
        <f>(F14/F$13)^(1/($A14-$A$13))-1</f>
        <v>3.9006799885154431E-2</v>
      </c>
      <c r="J24" s="1">
        <f t="shared" ref="J24:J30" si="16">($A14-$A13)/(1/LOG(2)*LOG(J14/J13))</f>
        <v>8.2921875023187379</v>
      </c>
      <c r="K24" s="1">
        <f t="shared" ref="K24:K30" si="17">($A14-$A$13)/(1/LOG(2)*LOG(J14/J$13))</f>
        <v>8.2921875023187379</v>
      </c>
      <c r="L24">
        <f>(J14/J13)^(1/($A14-$A13))-1</f>
        <v>8.7183480486549447E-2</v>
      </c>
      <c r="M24">
        <f>(J14/J$13)^(1/($A14-$A$13))-1</f>
        <v>8.7183480486549447E-2</v>
      </c>
      <c r="N24" s="1">
        <f t="shared" ref="N24:N30" si="18">($A14-$A13)/(1/LOG(2)*LOG(N14/N13))</f>
        <v>18.382169560469229</v>
      </c>
      <c r="O24" s="1">
        <f t="shared" ref="O24:O30" si="19">($A14-$A$13)/(1/LOG(2)*LOG(N14/N$13))</f>
        <v>18.382169560469229</v>
      </c>
      <c r="P24">
        <f>(N14/N13)^(1/($A14-$A13))-1</f>
        <v>3.8427534394863683E-2</v>
      </c>
      <c r="Q24">
        <f>(N14/N$13)^(1/($A14-$A$13))-1</f>
        <v>3.8427534394863683E-2</v>
      </c>
      <c r="R24" s="1">
        <f t="shared" ref="R24:R30" si="20">($A14-$A13)/(1/LOG(2)*LOG(R14/R13))</f>
        <v>21.110948384756707</v>
      </c>
      <c r="S24" s="1">
        <f t="shared" ref="S24:S30" si="21">($A14-$A$13)/(1/LOG(2)*LOG(R14/R$13))</f>
        <v>21.110948384756707</v>
      </c>
      <c r="T24">
        <f>(R14/R13)^(1/($A14-$A13))-1</f>
        <v>3.3378509340645346E-2</v>
      </c>
      <c r="U24">
        <f>(R14/R$13)^(1/($A14-$A$13))-1</f>
        <v>3.3378509340645346E-2</v>
      </c>
      <c r="V24" s="1">
        <f t="shared" ref="V24:V30" si="22">($A14-$A13)/(1/LOG(2)*LOG(V14/V13))</f>
        <v>16.524506092504538</v>
      </c>
      <c r="W24" s="1">
        <f t="shared" ref="W24:W30" si="23">($A14-$A$13)/(1/LOG(2)*LOG(V14/V$13))</f>
        <v>16.524506092504538</v>
      </c>
      <c r="X24">
        <f>(V14/V13)^(1/($A14-$A13))-1</f>
        <v>4.2838810706619102E-2</v>
      </c>
      <c r="Y24">
        <f>(V14/V$13)^(1/($A14-$A$13))-1</f>
        <v>4.2838810706619102E-2</v>
      </c>
    </row>
    <row r="25" spans="1:25" x14ac:dyDescent="0.35">
      <c r="A25" s="2">
        <v>46</v>
      </c>
      <c r="B25" s="1">
        <f t="shared" si="12"/>
        <v>33.090644833107845</v>
      </c>
      <c r="C25" s="1">
        <f t="shared" si="13"/>
        <v>23.119335471627949</v>
      </c>
      <c r="D25">
        <f t="shared" ref="D25:D30" si="24">(B15/B14)^(1/($A15-$A14))-1</f>
        <v>2.116784940221228E-2</v>
      </c>
      <c r="E25">
        <f t="shared" ref="E25:E30" si="25">(B15/B$13)^(1/($A15-$A$13))-1</f>
        <v>3.0435240030411981E-2</v>
      </c>
      <c r="F25" s="1">
        <f t="shared" si="14"/>
        <v>33.094672796078875</v>
      </c>
      <c r="G25" s="1">
        <f t="shared" si="15"/>
        <v>23.11927391239626</v>
      </c>
      <c r="H25">
        <f t="shared" ref="H25:H30" si="26">(F15/F14)^(1/($A15-$A14))-1</f>
        <v>2.1165245982505576E-2</v>
      </c>
      <c r="I25">
        <f t="shared" ref="I25:I30" si="27">(F15/F$13)^(1/($A15-$A$13))-1</f>
        <v>3.0435322290625955E-2</v>
      </c>
      <c r="J25" s="1">
        <f t="shared" si="16"/>
        <v>-33.184254942290558</v>
      </c>
      <c r="K25" s="1">
        <f t="shared" si="17"/>
        <v>20.61554849325664</v>
      </c>
      <c r="L25">
        <f t="shared" ref="L25:L30" si="28">(J15/J14)^(1/($A15-$A14))-1</f>
        <v>-2.0671193367111984E-2</v>
      </c>
      <c r="M25">
        <f>(J15/J$13)^(1/($A15-$A$13))-1</f>
        <v>3.4194169963845056E-2</v>
      </c>
      <c r="N25" s="1">
        <f t="shared" si="18"/>
        <v>33.183794351888061</v>
      </c>
      <c r="O25" s="1">
        <f t="shared" si="19"/>
        <v>23.36701116449921</v>
      </c>
      <c r="P25">
        <f t="shared" ref="P25:P30" si="29">(N15/N14)^(1/($A15-$A14))-1</f>
        <v>2.1107806846745625E-2</v>
      </c>
      <c r="Q25">
        <f t="shared" ref="Q25:Q30" si="30">(N15/N$13)^(1/($A15-$A$13))-1</f>
        <v>3.0107837498434264E-2</v>
      </c>
      <c r="R25" s="1">
        <f t="shared" si="20"/>
        <v>59.95930131700834</v>
      </c>
      <c r="S25" s="1">
        <f t="shared" si="21"/>
        <v>30.589857210044133</v>
      </c>
      <c r="T25">
        <f t="shared" ref="T25:T30" si="31">(R15/R14)^(1/($A15-$A14))-1</f>
        <v>1.1627372925970159E-2</v>
      </c>
      <c r="U25">
        <f t="shared" ref="U25:U30" si="32">(R15/R$13)^(1/($A15-$A$13))-1</f>
        <v>2.2918053246951287E-2</v>
      </c>
      <c r="V25" s="1">
        <f t="shared" si="22"/>
        <v>151.30861375100386</v>
      </c>
      <c r="W25" s="1">
        <f t="shared" si="23"/>
        <v>28.789828188778753</v>
      </c>
      <c r="X25">
        <f t="shared" ref="X25:X30" si="33">(V15/V14)^(1/($A15-$A14))-1</f>
        <v>4.5915248949977006E-3</v>
      </c>
      <c r="Y25">
        <f t="shared" ref="Y25:Y30" si="34">(V15/V$13)^(1/($A15-$A$13))-1</f>
        <v>2.4368283514734079E-2</v>
      </c>
    </row>
    <row r="26" spans="1:25" x14ac:dyDescent="0.35">
      <c r="A26" s="2">
        <v>70</v>
      </c>
      <c r="B26" s="1">
        <f t="shared" si="12"/>
        <v>76.700899469807439</v>
      </c>
      <c r="C26" s="1">
        <f t="shared" si="13"/>
        <v>30.400676648849057</v>
      </c>
      <c r="D26">
        <f t="shared" si="24"/>
        <v>9.0779721239711009E-3</v>
      </c>
      <c r="E26">
        <f t="shared" si="25"/>
        <v>2.3062302221257935E-2</v>
      </c>
      <c r="F26" s="1">
        <f t="shared" si="14"/>
        <v>76.679587677951588</v>
      </c>
      <c r="G26" s="1">
        <f t="shared" si="15"/>
        <v>30.399458545499154</v>
      </c>
      <c r="H26">
        <f t="shared" si="26"/>
        <v>9.0805066133305967E-3</v>
      </c>
      <c r="I26">
        <f t="shared" si="27"/>
        <v>2.3063236900893624E-2</v>
      </c>
      <c r="J26" s="1">
        <f t="shared" si="16"/>
        <v>14.012814327001024</v>
      </c>
      <c r="K26" s="1">
        <f t="shared" si="17"/>
        <v>17.7482825255858</v>
      </c>
      <c r="L26">
        <f t="shared" si="28"/>
        <v>5.0709065693549382E-2</v>
      </c>
      <c r="M26">
        <f>(J16/J$13)^(1/($A16-$A$13))-1</f>
        <v>3.9826969931740175E-2</v>
      </c>
      <c r="N26" s="1">
        <f t="shared" si="18"/>
        <v>75.554850162400626</v>
      </c>
      <c r="O26" s="1">
        <f t="shared" si="19"/>
        <v>30.61799451403337</v>
      </c>
      <c r="P26">
        <f t="shared" si="29"/>
        <v>9.2163034215011486E-3</v>
      </c>
      <c r="Q26">
        <f t="shared" si="30"/>
        <v>2.2896752733381431E-2</v>
      </c>
      <c r="R26" s="1">
        <f t="shared" si="20"/>
        <v>27.230782476145734</v>
      </c>
      <c r="S26" s="1">
        <f t="shared" si="21"/>
        <v>29.34860451899192</v>
      </c>
      <c r="T26">
        <f t="shared" si="31"/>
        <v>2.5781278421995735E-2</v>
      </c>
      <c r="U26">
        <f t="shared" si="32"/>
        <v>2.389882899824558E-2</v>
      </c>
      <c r="V26" s="1">
        <f t="shared" si="22"/>
        <v>22.897941081041381</v>
      </c>
      <c r="W26" s="1">
        <f t="shared" si="23"/>
        <v>26.455869203910193</v>
      </c>
      <c r="X26">
        <f t="shared" si="33"/>
        <v>3.0733987300178844E-2</v>
      </c>
      <c r="Y26">
        <f t="shared" si="34"/>
        <v>2.654636940666788E-2</v>
      </c>
    </row>
    <row r="27" spans="1:25" x14ac:dyDescent="0.35">
      <c r="A27" s="2">
        <v>96</v>
      </c>
      <c r="B27" s="1">
        <f t="shared" si="12"/>
        <v>53.130258493020847</v>
      </c>
      <c r="C27" s="1">
        <f t="shared" si="13"/>
        <v>34.384648084863024</v>
      </c>
      <c r="D27">
        <f t="shared" si="24"/>
        <v>1.3131657748930881E-2</v>
      </c>
      <c r="E27">
        <f t="shared" si="25"/>
        <v>2.0363180936832315E-2</v>
      </c>
      <c r="F27" s="1">
        <f t="shared" si="14"/>
        <v>53.132082117029263</v>
      </c>
      <c r="G27" s="1">
        <f t="shared" si="15"/>
        <v>34.383718671055739</v>
      </c>
      <c r="H27">
        <f t="shared" si="26"/>
        <v>1.3131204091752835E-2</v>
      </c>
      <c r="I27">
        <f t="shared" si="27"/>
        <v>2.0363736933322274E-2</v>
      </c>
      <c r="J27" s="1">
        <f t="shared" si="16"/>
        <v>90.50342289764545</v>
      </c>
      <c r="K27" s="1">
        <f t="shared" si="17"/>
        <v>22.687925793924421</v>
      </c>
      <c r="L27">
        <f t="shared" si="28"/>
        <v>7.6881987859054313E-3</v>
      </c>
      <c r="M27">
        <f t="shared" ref="M27:M30" si="35">(J17/J$13)^(1/($A17-$A$13))-1</f>
        <v>3.1022850746246222E-2</v>
      </c>
      <c r="N27" s="1">
        <f t="shared" si="18"/>
        <v>51.916679611385597</v>
      </c>
      <c r="O27" s="1">
        <f t="shared" si="19"/>
        <v>34.445149724500091</v>
      </c>
      <c r="P27">
        <f t="shared" si="29"/>
        <v>1.3440670743692262E-2</v>
      </c>
      <c r="Q27">
        <f t="shared" si="30"/>
        <v>2.0327052677708846E-2</v>
      </c>
      <c r="R27" s="1">
        <f t="shared" si="20"/>
        <v>21.067614082767729</v>
      </c>
      <c r="S27" s="1">
        <f t="shared" si="21"/>
        <v>26.524879138794223</v>
      </c>
      <c r="T27">
        <f t="shared" si="31"/>
        <v>3.3448301760915511E-2</v>
      </c>
      <c r="U27">
        <f t="shared" si="32"/>
        <v>2.6476397227457982E-2</v>
      </c>
      <c r="V27" s="1">
        <f t="shared" si="22"/>
        <v>24.819314304910169</v>
      </c>
      <c r="W27" s="1">
        <f t="shared" si="23"/>
        <v>25.991698658927113</v>
      </c>
      <c r="X27">
        <f t="shared" si="33"/>
        <v>2.8321367928505259E-2</v>
      </c>
      <c r="Y27">
        <f t="shared" si="34"/>
        <v>2.7026795423237715E-2</v>
      </c>
    </row>
    <row r="28" spans="1:25" x14ac:dyDescent="0.35">
      <c r="A28" s="2">
        <v>120</v>
      </c>
      <c r="B28" s="1">
        <f t="shared" si="12"/>
        <v>-950.96483375238915</v>
      </c>
      <c r="C28" s="1">
        <f t="shared" si="13"/>
        <v>43.372875354593702</v>
      </c>
      <c r="D28">
        <f t="shared" si="24"/>
        <v>-7.2862276698593131E-4</v>
      </c>
      <c r="E28">
        <f t="shared" si="25"/>
        <v>1.6109502360801997E-2</v>
      </c>
      <c r="F28" s="1">
        <f t="shared" si="14"/>
        <v>-906.76334049422178</v>
      </c>
      <c r="G28" s="1">
        <f t="shared" si="15"/>
        <v>43.390985946722594</v>
      </c>
      <c r="H28">
        <f t="shared" si="26"/>
        <v>-7.6412696637739863E-4</v>
      </c>
      <c r="I28">
        <f t="shared" si="27"/>
        <v>1.6102724706046789E-2</v>
      </c>
      <c r="J28" s="1">
        <f t="shared" si="16"/>
        <v>110.77465781367324</v>
      </c>
      <c r="K28" s="1">
        <f t="shared" si="17"/>
        <v>26.978528880790172</v>
      </c>
      <c r="L28">
        <f t="shared" si="28"/>
        <v>6.2768897672489388E-3</v>
      </c>
      <c r="M28">
        <f t="shared" si="35"/>
        <v>2.6025447628709619E-2</v>
      </c>
      <c r="N28" s="1">
        <f t="shared" si="18"/>
        <v>-4523.7183192773791</v>
      </c>
      <c r="O28" s="1">
        <f t="shared" si="19"/>
        <v>43.138555110635281</v>
      </c>
      <c r="P28">
        <f t="shared" si="29"/>
        <v>-1.5321335914009193E-4</v>
      </c>
      <c r="Q28">
        <f t="shared" si="30"/>
        <v>1.6197710939774401E-2</v>
      </c>
      <c r="R28" s="1">
        <f t="shared" si="20"/>
        <v>63.632948188964882</v>
      </c>
      <c r="S28" s="1">
        <f t="shared" si="21"/>
        <v>30.026973716355929</v>
      </c>
      <c r="T28">
        <f t="shared" si="31"/>
        <v>1.0952441085623876E-2</v>
      </c>
      <c r="U28">
        <f t="shared" si="32"/>
        <v>2.3352651569195526E-2</v>
      </c>
      <c r="V28" s="1">
        <f t="shared" si="22"/>
        <v>67.347325138462494</v>
      </c>
      <c r="W28" s="1">
        <f t="shared" si="23"/>
        <v>29.630737676913935</v>
      </c>
      <c r="X28">
        <f t="shared" si="33"/>
        <v>1.0345272468231137E-2</v>
      </c>
      <c r="Y28">
        <f t="shared" si="34"/>
        <v>2.3668601133001177E-2</v>
      </c>
    </row>
    <row r="29" spans="1:25" x14ac:dyDescent="0.35">
      <c r="A29" s="2">
        <v>168</v>
      </c>
      <c r="B29" s="1">
        <f t="shared" si="12"/>
        <v>-10.801080443667466</v>
      </c>
      <c r="C29" s="1">
        <f t="shared" si="13"/>
        <v>-100.16134713298395</v>
      </c>
      <c r="D29">
        <f t="shared" si="24"/>
        <v>-6.2158081415605526E-2</v>
      </c>
      <c r="E29">
        <f t="shared" si="25"/>
        <v>-6.89641591281831E-3</v>
      </c>
      <c r="F29" s="1">
        <f t="shared" si="14"/>
        <v>-10.760129942104038</v>
      </c>
      <c r="G29" s="1">
        <f t="shared" si="15"/>
        <v>-99.093920843817656</v>
      </c>
      <c r="H29">
        <f t="shared" si="26"/>
        <v>-6.2387103085694617E-2</v>
      </c>
      <c r="I29">
        <f t="shared" si="27"/>
        <v>-6.9704436626124577E-3</v>
      </c>
      <c r="J29" s="1">
        <f t="shared" si="16"/>
        <v>-30.726831330473601</v>
      </c>
      <c r="K29" s="1">
        <f t="shared" si="17"/>
        <v>58.215507973484506</v>
      </c>
      <c r="L29">
        <f t="shared" si="28"/>
        <v>-2.2305830905096746E-2</v>
      </c>
      <c r="M29">
        <f t="shared" si="35"/>
        <v>1.1977738146909056E-2</v>
      </c>
      <c r="N29" s="1">
        <f t="shared" si="18"/>
        <v>-1535.9973677981313</v>
      </c>
      <c r="O29" s="1">
        <f t="shared" si="19"/>
        <v>61.080152688298632</v>
      </c>
      <c r="P29">
        <f t="shared" si="29"/>
        <v>-4.5116666270272887E-4</v>
      </c>
      <c r="Q29">
        <f t="shared" si="30"/>
        <v>1.1412791899292341E-2</v>
      </c>
      <c r="R29" s="1">
        <f t="shared" si="20"/>
        <v>103.66613485553187</v>
      </c>
      <c r="S29" s="1">
        <f t="shared" si="21"/>
        <v>37.672962468552683</v>
      </c>
      <c r="T29">
        <f t="shared" si="31"/>
        <v>6.7087449949845279E-3</v>
      </c>
      <c r="U29">
        <f t="shared" si="32"/>
        <v>1.8569367852234508E-2</v>
      </c>
      <c r="V29" s="1">
        <f t="shared" si="22"/>
        <v>155.99434843481851</v>
      </c>
      <c r="W29" s="1">
        <f t="shared" si="23"/>
        <v>38.553756747356211</v>
      </c>
      <c r="X29">
        <f t="shared" si="33"/>
        <v>4.4532987269627622E-3</v>
      </c>
      <c r="Y29">
        <f t="shared" si="34"/>
        <v>1.8141309664594152E-2</v>
      </c>
    </row>
    <row r="30" spans="1:25" x14ac:dyDescent="0.35">
      <c r="A30" s="2">
        <v>264</v>
      </c>
      <c r="B30" s="1">
        <f t="shared" si="12"/>
        <v>-31.388474259983859</v>
      </c>
      <c r="C30" s="1">
        <f t="shared" si="13"/>
        <v>-55.746289342439368</v>
      </c>
      <c r="D30">
        <f t="shared" si="24"/>
        <v>-2.1840815393675994E-2</v>
      </c>
      <c r="E30">
        <f t="shared" si="25"/>
        <v>-1.2356978577869215E-2</v>
      </c>
      <c r="F30" s="1">
        <f t="shared" si="14"/>
        <v>-31.697981758278587</v>
      </c>
      <c r="G30" s="1">
        <f t="shared" si="15"/>
        <v>-55.885490421150081</v>
      </c>
      <c r="H30">
        <f t="shared" si="26"/>
        <v>-2.1629879164097643E-2</v>
      </c>
      <c r="I30">
        <f t="shared" si="27"/>
        <v>-1.2326389966945905E-2</v>
      </c>
      <c r="J30" s="1">
        <f t="shared" si="16"/>
        <v>96</v>
      </c>
      <c r="K30" s="1">
        <f t="shared" si="17"/>
        <v>67.939171114658294</v>
      </c>
      <c r="L30">
        <f t="shared" si="28"/>
        <v>7.2464122237039241E-3</v>
      </c>
      <c r="M30">
        <f t="shared" si="35"/>
        <v>1.025469005020585E-2</v>
      </c>
      <c r="N30" s="1">
        <f t="shared" si="18"/>
        <v>2344.9127694625254</v>
      </c>
      <c r="O30" s="1">
        <f t="shared" si="19"/>
        <v>94.575386106080487</v>
      </c>
      <c r="P30">
        <f t="shared" si="29"/>
        <v>2.9563984021119261E-4</v>
      </c>
      <c r="Q30">
        <f t="shared" si="30"/>
        <v>7.3559673306418105E-3</v>
      </c>
      <c r="R30" s="1">
        <f t="shared" si="20"/>
        <v>-2130.1534809418131</v>
      </c>
      <c r="S30" s="1">
        <f t="shared" si="21"/>
        <v>59.804758619074448</v>
      </c>
      <c r="T30">
        <f t="shared" si="31"/>
        <v>-3.2534482830470779E-4</v>
      </c>
      <c r="U30">
        <f t="shared" si="32"/>
        <v>1.1657593917166809E-2</v>
      </c>
      <c r="V30" s="1">
        <f t="shared" si="22"/>
        <v>25496.711417737672</v>
      </c>
      <c r="W30" s="1">
        <f t="shared" si="23"/>
        <v>60.53217139024224</v>
      </c>
      <c r="X30">
        <f t="shared" si="33"/>
        <v>2.7186117893762685E-5</v>
      </c>
      <c r="Y30">
        <f t="shared" si="34"/>
        <v>1.1516701477265023E-2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5" s="3" customFormat="1" x14ac:dyDescent="0.35">
      <c r="A33" s="4">
        <v>0</v>
      </c>
      <c r="B33" s="5">
        <f>F13/V13</f>
        <v>3261.8571428571427</v>
      </c>
      <c r="C33" s="5">
        <f>G13/W13</f>
        <v>737.71428571428567</v>
      </c>
      <c r="D33" s="5">
        <f>F13/(F13+V13)*100</f>
        <v>99.969352014010511</v>
      </c>
      <c r="E33" s="5">
        <f>V13/(F13+V13)*100</f>
        <v>3.0647985989492119E-2</v>
      </c>
    </row>
    <row r="34" spans="1:5" s="3" customFormat="1" x14ac:dyDescent="0.35">
      <c r="A34" s="4">
        <v>24</v>
      </c>
      <c r="B34" s="5">
        <f t="shared" ref="B34:C40" si="36">F14/V14</f>
        <v>2986.0277324632953</v>
      </c>
      <c r="C34" s="5">
        <f t="shared" si="36"/>
        <v>8760.8095238095248</v>
      </c>
      <c r="D34" s="5">
        <f>F14/(F14+V14)*100</f>
        <v>99.966521904395734</v>
      </c>
      <c r="E34" s="5">
        <f>V14/(F14+V14)*100</f>
        <v>3.347809560426597E-2</v>
      </c>
    </row>
    <row r="35" spans="1:5" s="3" customFormat="1" x14ac:dyDescent="0.35">
      <c r="A35" s="4">
        <v>46</v>
      </c>
      <c r="B35" s="5">
        <f t="shared" si="36"/>
        <v>4279.9351032448376</v>
      </c>
      <c r="C35" s="5">
        <f t="shared" si="36"/>
        <v>1747.8666666666666</v>
      </c>
      <c r="D35" s="5">
        <f>F15/(F15+V15)*100</f>
        <v>99.976640617624824</v>
      </c>
      <c r="E35" s="5">
        <f>V15/(F15+V15)*100</f>
        <v>2.335938237517373E-2</v>
      </c>
    </row>
    <row r="36" spans="1:5" s="3" customFormat="1" x14ac:dyDescent="0.35">
      <c r="A36" s="4">
        <v>70</v>
      </c>
      <c r="B36" s="5">
        <f t="shared" si="36"/>
        <v>2571.2154065620543</v>
      </c>
      <c r="C36" s="5">
        <f t="shared" si="36"/>
        <v>3066.8253968253966</v>
      </c>
      <c r="D36" s="5">
        <f>F16/(F16+V16)*100</f>
        <v>99.96112300713817</v>
      </c>
      <c r="E36" s="5">
        <f>V16/(F16+V16)*100</f>
        <v>3.887699286182917E-2</v>
      </c>
    </row>
    <row r="37" spans="1:5" s="3" customFormat="1" x14ac:dyDescent="0.35">
      <c r="A37" s="4">
        <v>96</v>
      </c>
      <c r="B37" s="5">
        <f t="shared" si="36"/>
        <v>1746.208419599724</v>
      </c>
      <c r="C37" s="5">
        <f t="shared" si="36"/>
        <v>427.71191135734074</v>
      </c>
      <c r="D37" s="5">
        <f>F17/(F17+V17)*100</f>
        <v>99.94276584357182</v>
      </c>
      <c r="E37" s="5">
        <f>V17/(F17+V17)*100</f>
        <v>5.7234156428177849E-2</v>
      </c>
    </row>
    <row r="38" spans="1:5" s="3" customFormat="1" x14ac:dyDescent="0.35">
      <c r="A38" s="4">
        <v>120</v>
      </c>
      <c r="B38" s="5">
        <f t="shared" si="36"/>
        <v>1339.2231805929919</v>
      </c>
      <c r="C38" s="5">
        <f t="shared" si="36"/>
        <v>1057.1846153846154</v>
      </c>
      <c r="D38" s="5">
        <f>F18/(F18+V18)*100</f>
        <v>99.925385561563147</v>
      </c>
      <c r="E38" s="5">
        <f>V18/(F18+V18)*100</f>
        <v>7.4614438436853656E-2</v>
      </c>
    </row>
    <row r="39" spans="1:5" s="3" customFormat="1" x14ac:dyDescent="0.35">
      <c r="A39" s="4">
        <v>168</v>
      </c>
      <c r="B39" s="5">
        <f t="shared" si="36"/>
        <v>49.131097560975611</v>
      </c>
      <c r="C39" s="5">
        <f t="shared" si="36"/>
        <v>46.981707317073166</v>
      </c>
      <c r="D39" s="5">
        <f>F19/(F19+V19)*100</f>
        <v>98.005230189138231</v>
      </c>
      <c r="E39" s="5">
        <f>V19/(F19+V19)*100</f>
        <v>1.9947698108617649</v>
      </c>
    </row>
    <row r="40" spans="1:5" s="3" customFormat="1" x14ac:dyDescent="0.35">
      <c r="A40" s="4">
        <v>264</v>
      </c>
      <c r="B40" s="5">
        <f t="shared" si="36"/>
        <v>6.0052128583840139</v>
      </c>
      <c r="C40" s="5">
        <f>G20/W20</f>
        <v>16.095238095238095</v>
      </c>
      <c r="D40" s="5">
        <f>F20/(F20+V20)*100</f>
        <v>85.72491628426144</v>
      </c>
      <c r="E40" s="5">
        <f>V20/(F20+V20)*100</f>
        <v>14.27508371573856</v>
      </c>
    </row>
    <row r="41" spans="1:5" s="3" customFormat="1" x14ac:dyDescent="0.35"/>
    <row r="42" spans="1:5" s="3" customFormat="1" ht="43.5" x14ac:dyDescent="0.35">
      <c r="A42" s="3" t="s">
        <v>0</v>
      </c>
      <c r="B42" s="3" t="s">
        <v>56</v>
      </c>
      <c r="C42" s="3" t="s">
        <v>57</v>
      </c>
      <c r="D42" s="3" t="s">
        <v>60</v>
      </c>
      <c r="E42" s="3" t="s">
        <v>47</v>
      </c>
    </row>
    <row r="43" spans="1:5" s="3" customFormat="1" x14ac:dyDescent="0.35">
      <c r="A43" s="4">
        <v>0</v>
      </c>
      <c r="B43" s="5">
        <f>D2/L2</f>
        <v>2817.4603174603176</v>
      </c>
      <c r="C43" s="5">
        <f>E2/M2</f>
        <v>3833.2244897959185</v>
      </c>
      <c r="D43" s="5">
        <f>AVERAGE(B43:C43)</f>
        <v>3325.3424036281181</v>
      </c>
      <c r="E43" s="5">
        <f>_xlfn.STDEV.S(B43:C43)</f>
        <v>718.25373434484561</v>
      </c>
    </row>
    <row r="44" spans="1:5" s="3" customFormat="1" x14ac:dyDescent="0.35">
      <c r="A44" s="4">
        <v>24</v>
      </c>
      <c r="B44" s="5">
        <f>D3/L3</f>
        <v>2596.9369085173503</v>
      </c>
      <c r="C44" s="5">
        <f t="shared" ref="C44" si="37">E3/M3</f>
        <v>3402.7229729729729</v>
      </c>
      <c r="D44" s="5">
        <f t="shared" ref="D44:D50" si="38">AVERAGE(B44:C44)</f>
        <v>2999.8299407451614</v>
      </c>
      <c r="E44" s="5">
        <f t="shared" ref="E44:E50" si="39">_xlfn.STDEV.S(B44:C44)</f>
        <v>569.7767903621916</v>
      </c>
    </row>
    <row r="45" spans="1:5" s="3" customFormat="1" x14ac:dyDescent="0.35">
      <c r="A45" s="4">
        <v>46</v>
      </c>
      <c r="B45" s="5">
        <f t="shared" ref="B45:C50" si="40">D4/L4</f>
        <v>3983.2083333333335</v>
      </c>
      <c r="C45" s="5">
        <f t="shared" si="40"/>
        <v>4667.4965986394554</v>
      </c>
      <c r="D45" s="5">
        <f t="shared" si="38"/>
        <v>4325.3524659863942</v>
      </c>
      <c r="E45" s="5">
        <f t="shared" si="39"/>
        <v>483.86487268433814</v>
      </c>
    </row>
    <row r="46" spans="1:5" s="3" customFormat="1" x14ac:dyDescent="0.35">
      <c r="A46" s="4">
        <v>70</v>
      </c>
      <c r="B46" s="5">
        <f t="shared" si="40"/>
        <v>2522.2758620689656</v>
      </c>
      <c r="C46" s="5">
        <f t="shared" si="40"/>
        <v>2612.0837696335079</v>
      </c>
      <c r="D46" s="5">
        <f t="shared" si="38"/>
        <v>2567.1798158512365</v>
      </c>
      <c r="E46" s="5">
        <f t="shared" si="39"/>
        <v>63.503780443062531</v>
      </c>
    </row>
    <row r="47" spans="1:5" s="3" customFormat="1" x14ac:dyDescent="0.35">
      <c r="A47" s="4">
        <v>96</v>
      </c>
      <c r="B47" s="5">
        <f t="shared" si="40"/>
        <v>1483.2375690607735</v>
      </c>
      <c r="C47" s="5">
        <f t="shared" si="40"/>
        <v>2183.6875</v>
      </c>
      <c r="D47" s="5">
        <f>AVERAGE(B47:C47)</f>
        <v>1833.4625345303866</v>
      </c>
      <c r="E47" s="5">
        <f t="shared" si="39"/>
        <v>495.29289604877636</v>
      </c>
    </row>
    <row r="48" spans="1:5" s="3" customFormat="1" x14ac:dyDescent="0.35">
      <c r="A48" s="4">
        <v>120</v>
      </c>
      <c r="B48" s="5">
        <f t="shared" si="40"/>
        <v>1372.3542168674699</v>
      </c>
      <c r="C48" s="5">
        <f t="shared" si="40"/>
        <v>1312.3951219512196</v>
      </c>
      <c r="D48" s="5">
        <f t="shared" si="38"/>
        <v>1342.3746694093447</v>
      </c>
      <c r="E48" s="5">
        <f t="shared" si="39"/>
        <v>42.397482609088399</v>
      </c>
    </row>
    <row r="49" spans="1:5" s="3" customFormat="1" x14ac:dyDescent="0.35">
      <c r="A49" s="4">
        <v>168</v>
      </c>
      <c r="B49" s="5">
        <f t="shared" si="40"/>
        <v>49.296435272045031</v>
      </c>
      <c r="C49" s="5">
        <f t="shared" si="40"/>
        <v>48.987804878048777</v>
      </c>
      <c r="D49" s="5">
        <f t="shared" si="38"/>
        <v>49.142120075046904</v>
      </c>
      <c r="E49" s="5">
        <f t="shared" si="39"/>
        <v>0.21823464447502666</v>
      </c>
    </row>
    <row r="50" spans="1:5" s="3" customFormat="1" x14ac:dyDescent="0.35">
      <c r="A50" s="4">
        <v>264</v>
      </c>
      <c r="B50" s="5">
        <f t="shared" si="40"/>
        <v>5.6092150170648463</v>
      </c>
      <c r="C50" s="5">
        <f t="shared" si="40"/>
        <v>6.4159292035398234</v>
      </c>
      <c r="D50" s="5">
        <f t="shared" si="38"/>
        <v>6.0125721103023348</v>
      </c>
      <c r="E50" s="5">
        <f t="shared" si="39"/>
        <v>0.57043307173584534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6853-5466-4E6D-A997-4BCF8D445EE1}">
  <dimension ref="A1:Y50"/>
  <sheetViews>
    <sheetView topLeftCell="A40" workbookViewId="0">
      <selection activeCell="D43" sqref="D43:E5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</row>
    <row r="2" spans="1:23" x14ac:dyDescent="0.35">
      <c r="A2">
        <v>0</v>
      </c>
      <c r="B2">
        <v>669658</v>
      </c>
      <c r="C2">
        <v>718208</v>
      </c>
      <c r="D2">
        <v>669732</v>
      </c>
      <c r="E2">
        <v>718240</v>
      </c>
      <c r="F2">
        <v>74</v>
      </c>
      <c r="G2">
        <v>32</v>
      </c>
      <c r="H2">
        <v>677560</v>
      </c>
      <c r="I2">
        <v>732476</v>
      </c>
      <c r="J2">
        <v>546</v>
      </c>
      <c r="K2">
        <v>496</v>
      </c>
      <c r="L2">
        <v>620</v>
      </c>
      <c r="M2">
        <v>528</v>
      </c>
    </row>
    <row r="3" spans="1:23" x14ac:dyDescent="0.35">
      <c r="A3">
        <v>24</v>
      </c>
      <c r="B3">
        <v>1678064</v>
      </c>
      <c r="C3">
        <v>2045648</v>
      </c>
      <c r="D3">
        <v>1678470</v>
      </c>
      <c r="E3">
        <v>2045768</v>
      </c>
      <c r="F3">
        <v>408</v>
      </c>
      <c r="G3">
        <v>120</v>
      </c>
      <c r="H3">
        <v>1685370</v>
      </c>
      <c r="I3">
        <v>2058676</v>
      </c>
      <c r="J3">
        <v>850</v>
      </c>
      <c r="K3">
        <v>808</v>
      </c>
      <c r="L3">
        <v>1258</v>
      </c>
      <c r="M3">
        <v>928</v>
      </c>
    </row>
    <row r="4" spans="1:23" x14ac:dyDescent="0.35">
      <c r="A4">
        <v>46</v>
      </c>
      <c r="B4">
        <v>3265112</v>
      </c>
      <c r="C4">
        <v>2809344</v>
      </c>
      <c r="D4">
        <v>3265272</v>
      </c>
      <c r="E4">
        <v>2809624</v>
      </c>
      <c r="F4">
        <v>160</v>
      </c>
      <c r="G4">
        <v>284</v>
      </c>
      <c r="H4">
        <v>3281304</v>
      </c>
      <c r="I4">
        <v>2821396</v>
      </c>
      <c r="J4">
        <v>1408</v>
      </c>
      <c r="K4">
        <v>872</v>
      </c>
      <c r="L4">
        <v>1568</v>
      </c>
      <c r="M4">
        <v>1156</v>
      </c>
    </row>
    <row r="5" spans="1:23" x14ac:dyDescent="0.35">
      <c r="A5">
        <v>70</v>
      </c>
      <c r="B5">
        <v>3471120</v>
      </c>
      <c r="C5">
        <v>4023456</v>
      </c>
      <c r="D5">
        <v>3471592</v>
      </c>
      <c r="E5">
        <v>4023688</v>
      </c>
      <c r="F5">
        <v>248</v>
      </c>
      <c r="G5">
        <v>484</v>
      </c>
      <c r="H5">
        <v>3489552</v>
      </c>
      <c r="I5">
        <v>4070296</v>
      </c>
      <c r="J5">
        <v>756</v>
      </c>
      <c r="K5">
        <v>1400</v>
      </c>
      <c r="L5">
        <v>1240</v>
      </c>
      <c r="M5">
        <v>1640</v>
      </c>
    </row>
    <row r="6" spans="1:23" x14ac:dyDescent="0.35">
      <c r="A6">
        <v>96</v>
      </c>
      <c r="B6">
        <v>5308500</v>
      </c>
      <c r="C6">
        <v>4836032</v>
      </c>
      <c r="D6">
        <v>5308720</v>
      </c>
      <c r="E6">
        <v>4836616</v>
      </c>
      <c r="F6">
        <v>260</v>
      </c>
      <c r="G6">
        <v>592</v>
      </c>
      <c r="H6">
        <v>5421040</v>
      </c>
      <c r="I6">
        <v>4864904</v>
      </c>
      <c r="J6">
        <v>2360</v>
      </c>
      <c r="K6">
        <v>1824</v>
      </c>
      <c r="L6">
        <v>2620</v>
      </c>
      <c r="M6">
        <v>2416</v>
      </c>
    </row>
    <row r="7" spans="1:23" x14ac:dyDescent="0.35">
      <c r="A7">
        <v>120</v>
      </c>
      <c r="B7">
        <v>4308568</v>
      </c>
      <c r="C7">
        <v>4863360</v>
      </c>
      <c r="D7">
        <v>4293608</v>
      </c>
      <c r="E7">
        <v>4848180</v>
      </c>
      <c r="F7">
        <v>744</v>
      </c>
      <c r="G7">
        <v>460</v>
      </c>
      <c r="H7">
        <v>4772296</v>
      </c>
      <c r="I7">
        <v>5393840</v>
      </c>
      <c r="J7">
        <v>2928</v>
      </c>
      <c r="K7">
        <v>3940</v>
      </c>
      <c r="L7">
        <v>3664</v>
      </c>
      <c r="M7">
        <v>4380</v>
      </c>
    </row>
    <row r="8" spans="1:23" x14ac:dyDescent="0.35">
      <c r="A8">
        <v>168</v>
      </c>
      <c r="B8">
        <v>141984</v>
      </c>
      <c r="C8">
        <v>179160</v>
      </c>
      <c r="D8">
        <v>140960</v>
      </c>
      <c r="E8">
        <v>177900</v>
      </c>
      <c r="F8">
        <v>64</v>
      </c>
      <c r="G8">
        <v>300</v>
      </c>
      <c r="H8">
        <v>4871720</v>
      </c>
      <c r="I8">
        <v>5898460</v>
      </c>
      <c r="J8">
        <v>4856</v>
      </c>
      <c r="K8">
        <v>6700</v>
      </c>
      <c r="L8">
        <v>4912</v>
      </c>
      <c r="M8">
        <v>6940</v>
      </c>
    </row>
    <row r="9" spans="1:23" x14ac:dyDescent="0.35">
      <c r="A9">
        <v>264</v>
      </c>
      <c r="B9">
        <v>19776</v>
      </c>
      <c r="C9">
        <v>20320</v>
      </c>
      <c r="D9">
        <v>20184</v>
      </c>
      <c r="E9">
        <v>20600</v>
      </c>
      <c r="F9">
        <v>512</v>
      </c>
      <c r="G9">
        <v>420</v>
      </c>
      <c r="H9">
        <v>4779472</v>
      </c>
      <c r="I9">
        <v>5228560</v>
      </c>
      <c r="J9">
        <v>4424</v>
      </c>
      <c r="K9">
        <v>3820</v>
      </c>
      <c r="L9">
        <v>4920</v>
      </c>
      <c r="M9">
        <v>4220</v>
      </c>
    </row>
    <row r="11" spans="1:23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3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3" x14ac:dyDescent="0.35">
      <c r="A13" s="2">
        <v>0</v>
      </c>
      <c r="B13" s="2">
        <f>AVERAGE(B2:C2)</f>
        <v>693933</v>
      </c>
      <c r="C13" s="2">
        <f>_xlfn.STDEV.S(B2:C2)</f>
        <v>34330.034226606884</v>
      </c>
      <c r="F13" s="2">
        <f>AVERAGE(D2:E2)</f>
        <v>693986</v>
      </c>
      <c r="G13" s="2">
        <f>_xlfn.STDEV.S(D2:E2)</f>
        <v>34300.335741797047</v>
      </c>
      <c r="J13" s="2">
        <f>AVERAGE(F2:G2)</f>
        <v>53</v>
      </c>
      <c r="K13" s="2">
        <f>_xlfn.STDEV.S(F2:G2)</f>
        <v>29.698484809834994</v>
      </c>
      <c r="N13" s="2">
        <f>AVERAGE(H2:I2)</f>
        <v>705018</v>
      </c>
      <c r="O13" s="2">
        <f>_xlfn.STDEV.S(H2:I2)</f>
        <v>38831.475995640445</v>
      </c>
      <c r="R13" s="2">
        <f>AVERAGE(J2:K2)</f>
        <v>521</v>
      </c>
      <c r="S13" s="2">
        <f>_xlfn.STDEV.S(J2:K2)</f>
        <v>35.355339059327378</v>
      </c>
      <c r="V13" s="2">
        <f>AVERAGE(L2:M2)</f>
        <v>574</v>
      </c>
      <c r="W13" s="2">
        <f>_xlfn.STDEV.S(L2:M2)</f>
        <v>65.053823869162372</v>
      </c>
    </row>
    <row r="14" spans="1:23" x14ac:dyDescent="0.35">
      <c r="A14" s="2">
        <v>24</v>
      </c>
      <c r="B14" s="2">
        <f t="shared" ref="B14:B20" si="0">AVERAGE(B3:C3)</f>
        <v>1861856</v>
      </c>
      <c r="C14" s="2">
        <f>_xlfn.STDEV.S(B3:C3)</f>
        <v>259921.13905567589</v>
      </c>
      <c r="F14" s="2">
        <f t="shared" ref="F14:F20" si="1">AVERAGE(D3:E3)</f>
        <v>1862119</v>
      </c>
      <c r="G14" s="2">
        <f t="shared" ref="G14:G20" si="2">_xlfn.STDEV.S(D3:E3)</f>
        <v>259718.90651625654</v>
      </c>
      <c r="J14" s="2">
        <f t="shared" ref="J14:J20" si="3">AVERAGE(F3:G3)</f>
        <v>264</v>
      </c>
      <c r="K14" s="2">
        <f t="shared" ref="K14:K20" si="4">_xlfn.STDEV.S(F3:G3)</f>
        <v>203.64675298172568</v>
      </c>
      <c r="N14" s="2">
        <f t="shared" ref="N14:N20" si="5">AVERAGE(H3:I3)</f>
        <v>1872023</v>
      </c>
      <c r="O14" s="2">
        <f t="shared" ref="O14:O20" si="6">_xlfn.STDEV.S(H3:I3)</f>
        <v>263967.20405762532</v>
      </c>
      <c r="R14" s="2">
        <f t="shared" ref="R14:R20" si="7">AVERAGE(J3:K3)</f>
        <v>829</v>
      </c>
      <c r="S14" s="2">
        <f t="shared" ref="S14:S20" si="8">_xlfn.STDEV.S(J3:K3)</f>
        <v>29.698484809834994</v>
      </c>
      <c r="V14" s="2">
        <f t="shared" ref="V14:V20" si="9">AVERAGE(L3:M3)</f>
        <v>1093</v>
      </c>
      <c r="W14" s="2">
        <f t="shared" ref="W14:W20" si="10">_xlfn.STDEV.S(L3:M3)</f>
        <v>233.34523779156069</v>
      </c>
    </row>
    <row r="15" spans="1:23" x14ac:dyDescent="0.35">
      <c r="A15" s="2">
        <v>46</v>
      </c>
      <c r="B15" s="2">
        <f t="shared" si="0"/>
        <v>3037228</v>
      </c>
      <c r="C15" s="2">
        <f t="shared" ref="C15:C20" si="11">_xlfn.STDEV.S(B4:C4)</f>
        <v>322276.6434478304</v>
      </c>
      <c r="F15" s="2">
        <f t="shared" si="1"/>
        <v>3037448</v>
      </c>
      <c r="G15" s="2">
        <f t="shared" si="2"/>
        <v>322191.79063408799</v>
      </c>
      <c r="J15" s="2">
        <f t="shared" si="3"/>
        <v>222</v>
      </c>
      <c r="K15" s="2">
        <f t="shared" si="4"/>
        <v>87.681240867131891</v>
      </c>
      <c r="N15" s="2">
        <f t="shared" si="5"/>
        <v>3051350</v>
      </c>
      <c r="O15" s="2">
        <f t="shared" si="6"/>
        <v>325204.06552194268</v>
      </c>
      <c r="R15" s="2">
        <f t="shared" si="7"/>
        <v>1140</v>
      </c>
      <c r="S15" s="2">
        <f t="shared" si="8"/>
        <v>379.00923471598946</v>
      </c>
      <c r="V15" s="2">
        <f t="shared" si="9"/>
        <v>1362</v>
      </c>
      <c r="W15" s="2">
        <f t="shared" si="10"/>
        <v>291.3279938488576</v>
      </c>
    </row>
    <row r="16" spans="1:23" x14ac:dyDescent="0.35">
      <c r="A16" s="2">
        <v>70</v>
      </c>
      <c r="B16" s="2">
        <f t="shared" si="0"/>
        <v>3747288</v>
      </c>
      <c r="C16" s="2">
        <f t="shared" si="11"/>
        <v>390560.53109345294</v>
      </c>
      <c r="F16" s="2">
        <f t="shared" si="1"/>
        <v>3747640</v>
      </c>
      <c r="G16" s="2">
        <f t="shared" si="2"/>
        <v>390390.82546596817</v>
      </c>
      <c r="J16" s="2">
        <f t="shared" si="3"/>
        <v>366</v>
      </c>
      <c r="K16" s="2">
        <f t="shared" si="4"/>
        <v>166.87720036002523</v>
      </c>
      <c r="N16" s="2">
        <f t="shared" si="5"/>
        <v>3779924</v>
      </c>
      <c r="O16" s="2">
        <f t="shared" si="6"/>
        <v>410648.02053340035</v>
      </c>
      <c r="R16" s="2">
        <f t="shared" si="7"/>
        <v>1078</v>
      </c>
      <c r="S16" s="2">
        <f t="shared" si="8"/>
        <v>455.37676708413659</v>
      </c>
      <c r="V16" s="2">
        <f t="shared" si="9"/>
        <v>1440</v>
      </c>
      <c r="W16" s="2">
        <f t="shared" si="10"/>
        <v>282.84271247461902</v>
      </c>
    </row>
    <row r="17" spans="1:25" x14ac:dyDescent="0.35">
      <c r="A17" s="2">
        <v>96</v>
      </c>
      <c r="B17" s="2">
        <f t="shared" si="0"/>
        <v>5072266</v>
      </c>
      <c r="C17" s="2">
        <f t="shared" si="11"/>
        <v>334085.32669364574</v>
      </c>
      <c r="F17" s="2">
        <f t="shared" si="1"/>
        <v>5072668</v>
      </c>
      <c r="G17" s="2">
        <f t="shared" si="2"/>
        <v>333827.93982529384</v>
      </c>
      <c r="J17" s="2">
        <f t="shared" si="3"/>
        <v>426</v>
      </c>
      <c r="K17" s="2">
        <f t="shared" si="4"/>
        <v>234.75945135393377</v>
      </c>
      <c r="N17" s="2">
        <f t="shared" si="5"/>
        <v>5142972</v>
      </c>
      <c r="O17" s="2">
        <f t="shared" si="6"/>
        <v>393247.53686196177</v>
      </c>
      <c r="R17" s="2">
        <f t="shared" si="7"/>
        <v>2092</v>
      </c>
      <c r="S17" s="2">
        <f t="shared" si="8"/>
        <v>379.00923471598946</v>
      </c>
      <c r="V17" s="2">
        <f t="shared" si="9"/>
        <v>2518</v>
      </c>
      <c r="W17" s="2">
        <f t="shared" si="10"/>
        <v>144.24978336205569</v>
      </c>
    </row>
    <row r="18" spans="1:25" x14ac:dyDescent="0.35">
      <c r="A18" s="2">
        <v>120</v>
      </c>
      <c r="B18" s="2">
        <f t="shared" si="0"/>
        <v>4585964</v>
      </c>
      <c r="C18" s="2">
        <f t="shared" si="11"/>
        <v>392297.18534804706</v>
      </c>
      <c r="F18" s="2">
        <f t="shared" si="1"/>
        <v>4570894</v>
      </c>
      <c r="G18" s="2">
        <f t="shared" si="2"/>
        <v>392141.62185618602</v>
      </c>
      <c r="J18" s="2">
        <f t="shared" si="3"/>
        <v>602</v>
      </c>
      <c r="K18" s="2">
        <f t="shared" si="4"/>
        <v>200.8183258569795</v>
      </c>
      <c r="N18" s="2">
        <f t="shared" si="5"/>
        <v>5083068</v>
      </c>
      <c r="O18" s="2">
        <f t="shared" si="6"/>
        <v>439497.97720581148</v>
      </c>
      <c r="R18" s="2">
        <f t="shared" si="7"/>
        <v>3434</v>
      </c>
      <c r="S18" s="2">
        <f t="shared" si="8"/>
        <v>715.59206256078608</v>
      </c>
      <c r="V18" s="2">
        <f t="shared" si="9"/>
        <v>4022</v>
      </c>
      <c r="W18" s="2">
        <f t="shared" si="10"/>
        <v>506.28845532956802</v>
      </c>
    </row>
    <row r="19" spans="1:25" x14ac:dyDescent="0.35">
      <c r="A19" s="2">
        <v>168</v>
      </c>
      <c r="B19" s="2">
        <f t="shared" si="0"/>
        <v>160572</v>
      </c>
      <c r="C19" s="2">
        <f t="shared" si="11"/>
        <v>26287.401697391091</v>
      </c>
      <c r="F19" s="2">
        <f t="shared" si="1"/>
        <v>159430</v>
      </c>
      <c r="G19" s="2">
        <f t="shared" si="2"/>
        <v>26120.524497031067</v>
      </c>
      <c r="J19" s="2">
        <f t="shared" si="3"/>
        <v>182</v>
      </c>
      <c r="K19" s="2">
        <f t="shared" si="4"/>
        <v>166.87720036002523</v>
      </c>
      <c r="N19" s="2">
        <f t="shared" si="5"/>
        <v>5385090</v>
      </c>
      <c r="O19" s="2">
        <f t="shared" si="6"/>
        <v>726014.81651547586</v>
      </c>
      <c r="R19" s="2">
        <f t="shared" si="7"/>
        <v>5778</v>
      </c>
      <c r="S19" s="2">
        <f t="shared" si="8"/>
        <v>1303.9049045079937</v>
      </c>
      <c r="V19" s="2">
        <f t="shared" si="9"/>
        <v>5926</v>
      </c>
      <c r="W19" s="2">
        <f t="shared" si="10"/>
        <v>1434.0125522463184</v>
      </c>
    </row>
    <row r="20" spans="1:25" x14ac:dyDescent="0.35">
      <c r="A20" s="2">
        <v>264</v>
      </c>
      <c r="B20" s="2">
        <f t="shared" si="0"/>
        <v>20048</v>
      </c>
      <c r="C20" s="2">
        <f t="shared" si="11"/>
        <v>384.66608896548183</v>
      </c>
      <c r="F20" s="2">
        <f t="shared" si="1"/>
        <v>20392</v>
      </c>
      <c r="G20" s="2">
        <f t="shared" si="2"/>
        <v>294.15642097360376</v>
      </c>
      <c r="J20" s="2">
        <f t="shared" si="3"/>
        <v>466</v>
      </c>
      <c r="K20" s="2">
        <f t="shared" si="4"/>
        <v>65.053823869162372</v>
      </c>
      <c r="N20" s="2">
        <f t="shared" si="5"/>
        <v>5004016</v>
      </c>
      <c r="O20" s="2">
        <f t="shared" si="6"/>
        <v>317553.17014950427</v>
      </c>
      <c r="R20" s="2">
        <f t="shared" si="7"/>
        <v>4122</v>
      </c>
      <c r="S20" s="2">
        <f t="shared" si="8"/>
        <v>427.09249583667469</v>
      </c>
      <c r="V20" s="2">
        <f t="shared" si="9"/>
        <v>4570</v>
      </c>
      <c r="W20" s="2">
        <f t="shared" si="10"/>
        <v>494.97474683058329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16.8554332954891</v>
      </c>
      <c r="C24" s="1">
        <f t="shared" ref="C24:C30" si="13">($A14-$A$13)/(1/LOG(2)*LOG(B14/B$13))</f>
        <v>16.8554332954891</v>
      </c>
      <c r="D24">
        <f>(B14/B13)^(1/($A14-$A13))-1</f>
        <v>4.19803352420558E-2</v>
      </c>
      <c r="E24">
        <f>(B14/B$13)^(1/($A14-$A$13))-1</f>
        <v>4.19803352420558E-2</v>
      </c>
      <c r="F24" s="1">
        <f t="shared" ref="F24:F30" si="14">($A14-$A13)/(1/LOG(2)*LOG(F14/F13))</f>
        <v>16.854325441543551</v>
      </c>
      <c r="G24" s="1">
        <f t="shared" ref="G24:G30" si="15">($A14-$A$13)/(1/LOG(2)*LOG(F14/F$13))</f>
        <v>16.854325441543551</v>
      </c>
      <c r="H24">
        <f>(F14/F13)^(1/($A14-$A13))-1</f>
        <v>4.198315178762968E-2</v>
      </c>
      <c r="I24">
        <f>(F14/F$13)^(1/($A14-$A$13))-1</f>
        <v>4.198315178762968E-2</v>
      </c>
      <c r="J24" s="1">
        <f t="shared" ref="J24:J30" si="16">($A14-$A13)/(1/LOG(2)*LOG(J14/J13))</f>
        <v>10.360575371411047</v>
      </c>
      <c r="K24" s="1">
        <f t="shared" ref="K24:K30" si="17">($A14-$A$13)/(1/LOG(2)*LOG(J14/J$13))</f>
        <v>10.360575371411047</v>
      </c>
      <c r="L24">
        <f>(J14/J13)^(1/($A14-$A13))-1</f>
        <v>6.9191101745263994E-2</v>
      </c>
      <c r="M24">
        <f>(J14/J$13)^(1/($A14-$A$13))-1</f>
        <v>6.9191101745263994E-2</v>
      </c>
      <c r="N24" s="1">
        <f t="shared" ref="N24:N30" si="18">($A14-$A13)/(1/LOG(2)*LOG(N14/N13))</f>
        <v>17.034975092020119</v>
      </c>
      <c r="O24" s="1">
        <f t="shared" ref="O24:O30" si="19">($A14-$A$13)/(1/LOG(2)*LOG(N14/N$13))</f>
        <v>17.034975092020119</v>
      </c>
      <c r="P24">
        <f>(N14/N13)^(1/($A14-$A13))-1</f>
        <v>4.1528817299041343E-2</v>
      </c>
      <c r="Q24">
        <f>(N14/N$13)^(1/($A14-$A$13))-1</f>
        <v>4.1528817299041343E-2</v>
      </c>
      <c r="R24" s="1">
        <f t="shared" ref="R24:R30" si="20">($A14-$A13)/(1/LOG(2)*LOG(R14/R13))</f>
        <v>35.816152329610695</v>
      </c>
      <c r="S24" s="1">
        <f t="shared" ref="S24:S30" si="21">($A14-$A$13)/(1/LOG(2)*LOG(R14/R$13))</f>
        <v>35.816152329610695</v>
      </c>
      <c r="T24">
        <f>(R14/R13)^(1/($A14-$A13))-1</f>
        <v>1.9541403101224208E-2</v>
      </c>
      <c r="U24">
        <f>(R14/R$13)^(1/($A14-$A$13))-1</f>
        <v>1.9541403101224208E-2</v>
      </c>
      <c r="V24" s="1">
        <f t="shared" ref="V24:V30" si="22">($A14-$A13)/(1/LOG(2)*LOG(V14/V13))</f>
        <v>25.829482651743369</v>
      </c>
      <c r="W24" s="1">
        <f t="shared" ref="W24:W30" si="23">($A14-$A$13)/(1/LOG(2)*LOG(V14/V$13))</f>
        <v>25.829482651743369</v>
      </c>
      <c r="X24">
        <f>(V14/V13)^(1/($A14-$A13))-1</f>
        <v>2.7198818591061213E-2</v>
      </c>
      <c r="Y24">
        <f>(V14/V$13)^(1/($A14-$A$13))-1</f>
        <v>2.7198818591061213E-2</v>
      </c>
    </row>
    <row r="25" spans="1:25" x14ac:dyDescent="0.35">
      <c r="A25" s="2">
        <v>46</v>
      </c>
      <c r="B25" s="1">
        <f t="shared" si="12"/>
        <v>31.160867639285872</v>
      </c>
      <c r="C25" s="1">
        <f t="shared" si="13"/>
        <v>21.59739059175951</v>
      </c>
      <c r="D25">
        <f t="shared" ref="D25:D30" si="24">(B15/B14)^(1/($A15-$A14))-1</f>
        <v>2.2493401229203069E-2</v>
      </c>
      <c r="E25">
        <f t="shared" ref="E25:E30" si="25">(B15/B$13)^(1/($A15-$A$13))-1</f>
        <v>3.2614591704951845E-2</v>
      </c>
      <c r="F25" s="1">
        <f t="shared" si="14"/>
        <v>31.165250075428315</v>
      </c>
      <c r="G25" s="1">
        <f t="shared" si="15"/>
        <v>21.597448252533944</v>
      </c>
      <c r="H25">
        <f t="shared" ref="H25:H30" si="26">(F15/F14)^(1/($A15-$A14))-1</f>
        <v>2.2490202917887059E-2</v>
      </c>
      <c r="I25">
        <f t="shared" ref="I25:I30" si="27">(F15/F$13)^(1/($A15-$A$13))-1</f>
        <v>3.2614503225902647E-2</v>
      </c>
      <c r="J25" s="1">
        <f t="shared" si="16"/>
        <v>-88.007655607007408</v>
      </c>
      <c r="K25" s="1">
        <f t="shared" si="17"/>
        <v>22.259909089381246</v>
      </c>
      <c r="L25">
        <f t="shared" ref="L25:L30" si="28">(J15/J14)^(1/($A15-$A14))-1</f>
        <v>-7.8450530084729353E-3</v>
      </c>
      <c r="M25">
        <f>(J15/J$13)^(1/($A15-$A$13))-1</f>
        <v>3.1628698999155658E-2</v>
      </c>
      <c r="N25" s="1">
        <f t="shared" si="18"/>
        <v>31.212336326547184</v>
      </c>
      <c r="O25" s="1">
        <f t="shared" si="19"/>
        <v>21.762624253069308</v>
      </c>
      <c r="P25">
        <f t="shared" ref="P25:P30" si="29">(N15/N14)^(1/($A15-$A14))-1</f>
        <v>2.2455896564959943E-2</v>
      </c>
      <c r="Q25">
        <f t="shared" ref="Q25:Q30" si="30">(N15/N$13)^(1/($A15-$A$13))-1</f>
        <v>3.2362999728835273E-2</v>
      </c>
      <c r="R25" s="1">
        <f t="shared" si="20"/>
        <v>47.868771586312221</v>
      </c>
      <c r="S25" s="1">
        <f t="shared" si="21"/>
        <v>40.719548168262314</v>
      </c>
      <c r="T25">
        <f t="shared" ref="T25:T30" si="31">(R15/R14)^(1/($A15-$A14))-1</f>
        <v>1.45854992072183E-2</v>
      </c>
      <c r="U25">
        <f t="shared" ref="U25:U30" si="32">(R15/R$13)^(1/($A15-$A$13))-1</f>
        <v>1.7168175175864775E-2</v>
      </c>
      <c r="V25" s="1">
        <f t="shared" si="22"/>
        <v>69.305897767539363</v>
      </c>
      <c r="W25" s="1">
        <f t="shared" si="23"/>
        <v>36.900248785237494</v>
      </c>
      <c r="X25">
        <f t="shared" ref="X25:X30" si="33">(V15/V14)^(1/($A15-$A14))-1</f>
        <v>1.0051452536024907E-2</v>
      </c>
      <c r="Y25">
        <f t="shared" ref="Y25:Y30" si="34">(V15/V$13)^(1/($A15-$A$13))-1</f>
        <v>1.8961885578785198E-2</v>
      </c>
    </row>
    <row r="26" spans="1:25" x14ac:dyDescent="0.35">
      <c r="A26" s="2">
        <v>70</v>
      </c>
      <c r="B26" s="1">
        <f t="shared" si="12"/>
        <v>79.183970217023102</v>
      </c>
      <c r="C26" s="1">
        <f t="shared" si="13"/>
        <v>28.771317827440555</v>
      </c>
      <c r="D26">
        <f t="shared" si="24"/>
        <v>8.792055099496876E-3</v>
      </c>
      <c r="E26">
        <f t="shared" si="25"/>
        <v>2.4384150741077804E-2</v>
      </c>
      <c r="F26" s="1">
        <f t="shared" si="14"/>
        <v>79.175868102617002</v>
      </c>
      <c r="G26" s="1">
        <f t="shared" si="15"/>
        <v>28.771018298891896</v>
      </c>
      <c r="H26">
        <f t="shared" si="26"/>
        <v>8.7929587397597153E-3</v>
      </c>
      <c r="I26">
        <f t="shared" si="27"/>
        <v>2.4384407669174823E-2</v>
      </c>
      <c r="J26" s="1">
        <f t="shared" si="16"/>
        <v>33.273996004167685</v>
      </c>
      <c r="K26" s="1">
        <f t="shared" si="17"/>
        <v>25.109590955712985</v>
      </c>
      <c r="L26">
        <f t="shared" si="28"/>
        <v>2.1049988156274901E-2</v>
      </c>
      <c r="M26">
        <f>(J16/J$13)^(1/($A16-$A$13))-1</f>
        <v>2.798942233888102E-2</v>
      </c>
      <c r="N26" s="1">
        <f t="shared" si="18"/>
        <v>77.692643409225013</v>
      </c>
      <c r="O26" s="1">
        <f t="shared" si="19"/>
        <v>28.894275149908079</v>
      </c>
      <c r="P26">
        <f t="shared" si="29"/>
        <v>8.9615744403583886E-3</v>
      </c>
      <c r="Q26">
        <f t="shared" si="30"/>
        <v>2.4279136333078766E-2</v>
      </c>
      <c r="R26" s="1">
        <f t="shared" si="20"/>
        <v>-297.48385810280575</v>
      </c>
      <c r="S26" s="1">
        <f t="shared" si="21"/>
        <v>66.73009836147115</v>
      </c>
      <c r="T26">
        <f t="shared" si="31"/>
        <v>-2.3273204937126479E-3</v>
      </c>
      <c r="U26">
        <f t="shared" si="32"/>
        <v>1.0441459957610144E-2</v>
      </c>
      <c r="V26" s="1">
        <f t="shared" si="22"/>
        <v>298.72255660910292</v>
      </c>
      <c r="W26" s="1">
        <f t="shared" si="23"/>
        <v>52.752705121605004</v>
      </c>
      <c r="X26">
        <f t="shared" si="33"/>
        <v>2.3230652218950709E-3</v>
      </c>
      <c r="Y26">
        <f t="shared" si="34"/>
        <v>1.3226260401075329E-2</v>
      </c>
    </row>
    <row r="27" spans="1:25" x14ac:dyDescent="0.35">
      <c r="A27" s="2">
        <v>96</v>
      </c>
      <c r="B27" s="1">
        <f t="shared" si="12"/>
        <v>59.5260520746194</v>
      </c>
      <c r="C27" s="1">
        <f t="shared" si="13"/>
        <v>33.452249989748992</v>
      </c>
      <c r="D27">
        <f t="shared" si="24"/>
        <v>1.1712494270011753E-2</v>
      </c>
      <c r="E27">
        <f t="shared" si="25"/>
        <v>2.0936654913006558E-2</v>
      </c>
      <c r="F27" s="1">
        <f t="shared" si="14"/>
        <v>59.528938280258124</v>
      </c>
      <c r="G27" s="1">
        <f t="shared" si="15"/>
        <v>33.452201589128059</v>
      </c>
      <c r="H27">
        <f t="shared" si="26"/>
        <v>1.1711923088020715E-2</v>
      </c>
      <c r="I27">
        <f t="shared" si="27"/>
        <v>2.0936685520316356E-2</v>
      </c>
      <c r="J27" s="1">
        <f t="shared" si="16"/>
        <v>118.71615856368363</v>
      </c>
      <c r="K27" s="1">
        <f t="shared" si="17"/>
        <v>31.927745748293404</v>
      </c>
      <c r="L27">
        <f t="shared" si="28"/>
        <v>5.8557711917477384E-3</v>
      </c>
      <c r="M27">
        <f t="shared" ref="M27:M30" si="35">(J17/J$13)^(1/($A17-$A$13))-1</f>
        <v>2.1947242971837921E-2</v>
      </c>
      <c r="N27" s="1">
        <f t="shared" si="18"/>
        <v>58.526254224529367</v>
      </c>
      <c r="O27" s="1">
        <f t="shared" si="19"/>
        <v>33.485993392587687</v>
      </c>
      <c r="P27">
        <f t="shared" si="29"/>
        <v>1.1913764785717262E-2</v>
      </c>
      <c r="Q27">
        <f t="shared" si="30"/>
        <v>2.0915338207784462E-2</v>
      </c>
      <c r="R27" s="1">
        <f t="shared" si="20"/>
        <v>27.18170637805807</v>
      </c>
      <c r="S27" s="1">
        <f t="shared" si="21"/>
        <v>47.867703863098825</v>
      </c>
      <c r="T27">
        <f t="shared" si="31"/>
        <v>2.5828422092981196E-2</v>
      </c>
      <c r="U27">
        <f t="shared" si="32"/>
        <v>1.4585826908385835E-2</v>
      </c>
      <c r="V27" s="1">
        <f t="shared" si="22"/>
        <v>32.249683144002468</v>
      </c>
      <c r="W27" s="1">
        <f t="shared" si="23"/>
        <v>45.003748508967824</v>
      </c>
      <c r="X27">
        <f t="shared" si="33"/>
        <v>2.1725788427907622E-2</v>
      </c>
      <c r="Y27">
        <f t="shared" si="34"/>
        <v>1.5521209601259578E-2</v>
      </c>
    </row>
    <row r="28" spans="1:25" x14ac:dyDescent="0.35">
      <c r="A28" s="2">
        <v>120</v>
      </c>
      <c r="B28" s="1">
        <f t="shared" si="12"/>
        <v>-165.05579592728893</v>
      </c>
      <c r="C28" s="1">
        <f t="shared" si="13"/>
        <v>44.047094804244125</v>
      </c>
      <c r="D28">
        <f t="shared" si="24"/>
        <v>-4.1906664701827356E-3</v>
      </c>
      <c r="E28">
        <f t="shared" si="25"/>
        <v>1.5860972458035194E-2</v>
      </c>
      <c r="F28" s="1">
        <f t="shared" si="14"/>
        <v>-159.71424142702818</v>
      </c>
      <c r="G28" s="1">
        <f t="shared" si="15"/>
        <v>44.125792507156056</v>
      </c>
      <c r="H28">
        <f t="shared" si="26"/>
        <v>-4.3305170906161594E-3</v>
      </c>
      <c r="I28">
        <f t="shared" si="27"/>
        <v>1.5832461887322458E-2</v>
      </c>
      <c r="J28" s="1">
        <f t="shared" si="16"/>
        <v>48.104863162586881</v>
      </c>
      <c r="K28" s="1">
        <f t="shared" si="17"/>
        <v>34.229975931823887</v>
      </c>
      <c r="L28">
        <f t="shared" si="28"/>
        <v>1.4513398768779995E-2</v>
      </c>
      <c r="M28">
        <f t="shared" si="35"/>
        <v>2.0456129134584833E-2</v>
      </c>
      <c r="N28" s="1">
        <f t="shared" si="18"/>
        <v>-1419.885760127167</v>
      </c>
      <c r="O28" s="1">
        <f t="shared" si="19"/>
        <v>42.105742808721324</v>
      </c>
      <c r="P28">
        <f t="shared" si="29"/>
        <v>-4.8805195484014074E-4</v>
      </c>
      <c r="Q28">
        <f t="shared" si="30"/>
        <v>1.6598304288917287E-2</v>
      </c>
      <c r="R28" s="1">
        <f t="shared" si="20"/>
        <v>33.566096133032474</v>
      </c>
      <c r="S28" s="1">
        <f t="shared" si="21"/>
        <v>44.108975076639943</v>
      </c>
      <c r="T28">
        <f t="shared" si="31"/>
        <v>2.0864908341554189E-2</v>
      </c>
      <c r="U28">
        <f t="shared" si="32"/>
        <v>1.5838545884523159E-2</v>
      </c>
      <c r="V28" s="1">
        <f t="shared" si="22"/>
        <v>35.522149022247532</v>
      </c>
      <c r="W28" s="1">
        <f t="shared" si="23"/>
        <v>42.72301639413935</v>
      </c>
      <c r="X28">
        <f t="shared" si="33"/>
        <v>1.9704723024057014E-2</v>
      </c>
      <c r="Y28">
        <f t="shared" si="34"/>
        <v>1.6356536940915989E-2</v>
      </c>
    </row>
    <row r="29" spans="1:25" x14ac:dyDescent="0.35">
      <c r="A29" s="2">
        <v>168</v>
      </c>
      <c r="B29" s="1">
        <f t="shared" si="12"/>
        <v>-9.9256962746785717</v>
      </c>
      <c r="C29" s="1">
        <f t="shared" si="13"/>
        <v>-79.561425853848178</v>
      </c>
      <c r="D29">
        <f t="shared" si="24"/>
        <v>-6.7451024105667945E-2</v>
      </c>
      <c r="E29">
        <f t="shared" si="25"/>
        <v>-8.6742606526640786E-3</v>
      </c>
      <c r="F29" s="1">
        <f t="shared" si="14"/>
        <v>-9.9143209946127708</v>
      </c>
      <c r="G29" s="1">
        <f t="shared" si="15"/>
        <v>-79.171211932831781</v>
      </c>
      <c r="H29">
        <f t="shared" si="26"/>
        <v>-6.7525740834936121E-2</v>
      </c>
      <c r="I29">
        <f t="shared" si="27"/>
        <v>-8.7168269062151138E-3</v>
      </c>
      <c r="J29" s="1">
        <f t="shared" si="16"/>
        <v>-27.81278460048766</v>
      </c>
      <c r="K29" s="1">
        <f t="shared" si="17"/>
        <v>94.388694075034451</v>
      </c>
      <c r="L29">
        <f t="shared" si="28"/>
        <v>-2.4613904315990087E-2</v>
      </c>
      <c r="M29">
        <f t="shared" si="35"/>
        <v>7.3705702353890068E-3</v>
      </c>
      <c r="N29" s="1">
        <f t="shared" si="18"/>
        <v>576.4316859719064</v>
      </c>
      <c r="O29" s="1">
        <f t="shared" si="19"/>
        <v>57.27457972381589</v>
      </c>
      <c r="P29">
        <f t="shared" si="29"/>
        <v>1.2032025860249096E-3</v>
      </c>
      <c r="Q29">
        <f t="shared" si="30"/>
        <v>1.2175706058224156E-2</v>
      </c>
      <c r="R29" s="1">
        <f t="shared" si="20"/>
        <v>63.942011879287939</v>
      </c>
      <c r="S29" s="1">
        <f t="shared" si="21"/>
        <v>48.398040331010314</v>
      </c>
      <c r="T29">
        <f t="shared" si="31"/>
        <v>1.0899215016042296E-2</v>
      </c>
      <c r="U29">
        <f t="shared" si="32"/>
        <v>1.4424850988252302E-2</v>
      </c>
      <c r="V29" s="1">
        <f t="shared" si="22"/>
        <v>85.845269552378781</v>
      </c>
      <c r="W29" s="1">
        <f t="shared" si="23"/>
        <v>49.882183267101531</v>
      </c>
      <c r="X29">
        <f t="shared" si="33"/>
        <v>8.1070639929086141E-3</v>
      </c>
      <c r="Y29">
        <f t="shared" si="34"/>
        <v>1.3992680294939053E-2</v>
      </c>
    </row>
    <row r="30" spans="1:25" x14ac:dyDescent="0.35">
      <c r="A30" s="2">
        <v>264</v>
      </c>
      <c r="B30" s="1">
        <f t="shared" si="12"/>
        <v>-31.98198222921911</v>
      </c>
      <c r="C30" s="1">
        <f t="shared" si="13"/>
        <v>-51.630404561815979</v>
      </c>
      <c r="D30">
        <f t="shared" si="24"/>
        <v>-2.1439879479459356E-2</v>
      </c>
      <c r="E30">
        <f t="shared" si="25"/>
        <v>-1.3335458581970494E-2</v>
      </c>
      <c r="F30" s="1">
        <f t="shared" si="14"/>
        <v>-32.35757336432814</v>
      </c>
      <c r="G30" s="1">
        <f t="shared" si="15"/>
        <v>-51.8783155731143</v>
      </c>
      <c r="H30">
        <f t="shared" si="26"/>
        <v>-2.1193671789151325E-2</v>
      </c>
      <c r="I30">
        <f t="shared" si="27"/>
        <v>-1.3272157179029853E-2</v>
      </c>
      <c r="J30" s="1">
        <f t="shared" si="16"/>
        <v>70.776025715769734</v>
      </c>
      <c r="K30" s="1">
        <f t="shared" si="17"/>
        <v>84.176541813437098</v>
      </c>
      <c r="L30">
        <f t="shared" si="28"/>
        <v>9.8416442591366948E-3</v>
      </c>
      <c r="M30">
        <f t="shared" si="35"/>
        <v>8.268442210491278E-3</v>
      </c>
      <c r="N30" s="1">
        <f t="shared" si="18"/>
        <v>-906.65210051710176</v>
      </c>
      <c r="O30" s="1">
        <f t="shared" si="19"/>
        <v>93.373508282363844</v>
      </c>
      <c r="P30">
        <f t="shared" si="29"/>
        <v>-7.6422068366766016E-4</v>
      </c>
      <c r="Q30">
        <f t="shared" si="30"/>
        <v>7.451003173775117E-3</v>
      </c>
      <c r="R30" s="1">
        <f t="shared" si="20"/>
        <v>-197.03394174822327</v>
      </c>
      <c r="S30" s="1">
        <f t="shared" si="21"/>
        <v>88.472169265285032</v>
      </c>
      <c r="T30">
        <f t="shared" si="31"/>
        <v>-3.5117269087090452E-3</v>
      </c>
      <c r="U30">
        <f t="shared" si="32"/>
        <v>7.8654063645640093E-3</v>
      </c>
      <c r="V30" s="1">
        <f t="shared" si="22"/>
        <v>-256.09256140165508</v>
      </c>
      <c r="W30" s="1">
        <f t="shared" si="23"/>
        <v>88.203705774326593</v>
      </c>
      <c r="X30">
        <f t="shared" si="33"/>
        <v>-2.7029679303717247E-3</v>
      </c>
      <c r="Y30">
        <f t="shared" si="34"/>
        <v>7.8894403007350178E-3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5" s="3" customFormat="1" x14ac:dyDescent="0.35">
      <c r="A33" s="4">
        <v>0</v>
      </c>
      <c r="B33" s="5">
        <f>F13/V13</f>
        <v>1209.0348432055748</v>
      </c>
      <c r="C33" s="5">
        <f>G13/W13</f>
        <v>527.26086956521738</v>
      </c>
      <c r="D33" s="5">
        <f>F13/(F13+V13)*100</f>
        <v>99.917357751670124</v>
      </c>
      <c r="E33" s="5">
        <f>V13/(F13+V13)*100</f>
        <v>8.2642248329877904E-2</v>
      </c>
    </row>
    <row r="34" spans="1:5" s="3" customFormat="1" x14ac:dyDescent="0.35">
      <c r="A34" s="4">
        <v>24</v>
      </c>
      <c r="B34" s="5">
        <f t="shared" ref="B34:C40" si="36">F14/V14</f>
        <v>1703.6770356816103</v>
      </c>
      <c r="C34" s="5">
        <f t="shared" si="36"/>
        <v>1113.0242424242424</v>
      </c>
      <c r="D34" s="5">
        <f>F14/(F14+V14)*100</f>
        <v>99.941337861714075</v>
      </c>
      <c r="E34" s="5">
        <f>V14/(F14+V14)*100</f>
        <v>5.8662138285927742E-2</v>
      </c>
    </row>
    <row r="35" spans="1:5" s="3" customFormat="1" x14ac:dyDescent="0.35">
      <c r="A35" s="4">
        <v>46</v>
      </c>
      <c r="B35" s="5">
        <f t="shared" si="36"/>
        <v>2230.1380323054332</v>
      </c>
      <c r="C35" s="5">
        <f t="shared" si="36"/>
        <v>1105.9417475728153</v>
      </c>
      <c r="D35" s="5">
        <f>F15/(F15+V15)*100</f>
        <v>99.955179823680979</v>
      </c>
      <c r="E35" s="5">
        <f>V15/(F15+V15)*100</f>
        <v>4.482017631901962E-2</v>
      </c>
    </row>
    <row r="36" spans="1:5" s="3" customFormat="1" x14ac:dyDescent="0.35">
      <c r="A36" s="4">
        <v>70</v>
      </c>
      <c r="B36" s="5">
        <f t="shared" si="36"/>
        <v>2602.5277777777778</v>
      </c>
      <c r="C36" s="5">
        <f t="shared" si="36"/>
        <v>1380.24</v>
      </c>
      <c r="D36" s="5">
        <f>F16/(F16+V16)*100</f>
        <v>99.961590576888199</v>
      </c>
      <c r="E36" s="5">
        <f>V16/(F16+V16)*100</f>
        <v>3.8409423111803433E-2</v>
      </c>
    </row>
    <row r="37" spans="1:5" s="3" customFormat="1" x14ac:dyDescent="0.35">
      <c r="A37" s="4">
        <v>96</v>
      </c>
      <c r="B37" s="5">
        <f t="shared" si="36"/>
        <v>2014.5623510722796</v>
      </c>
      <c r="C37" s="5">
        <f t="shared" si="36"/>
        <v>2314.2352941176473</v>
      </c>
      <c r="D37" s="5">
        <f>F17/(F17+V17)*100</f>
        <v>99.950386054816505</v>
      </c>
      <c r="E37" s="5">
        <f>V17/(F17+V17)*100</f>
        <v>4.9613945183486871E-2</v>
      </c>
    </row>
    <row r="38" spans="1:5" s="3" customFormat="1" x14ac:dyDescent="0.35">
      <c r="A38" s="4">
        <v>120</v>
      </c>
      <c r="B38" s="5">
        <f t="shared" si="36"/>
        <v>1136.4728990551964</v>
      </c>
      <c r="C38" s="5">
        <f t="shared" si="36"/>
        <v>774.54189944134077</v>
      </c>
      <c r="D38" s="5">
        <f>F18/(F18+V18)*100</f>
        <v>99.912085817531946</v>
      </c>
      <c r="E38" s="5">
        <f>V18/(F18+V18)*100</f>
        <v>8.791418246804969E-2</v>
      </c>
    </row>
    <row r="39" spans="1:5" s="3" customFormat="1" x14ac:dyDescent="0.35">
      <c r="A39" s="4">
        <v>168</v>
      </c>
      <c r="B39" s="5">
        <f t="shared" si="36"/>
        <v>26.903476206547417</v>
      </c>
      <c r="C39" s="5">
        <f t="shared" si="36"/>
        <v>18.214990138067062</v>
      </c>
      <c r="D39" s="5">
        <f>F19/(F19+V19)*100</f>
        <v>96.416217131522288</v>
      </c>
      <c r="E39" s="5">
        <f>V19/(F19+V19)*100</f>
        <v>3.5837828684777087</v>
      </c>
    </row>
    <row r="40" spans="1:5" s="3" customFormat="1" x14ac:dyDescent="0.35">
      <c r="A40" s="4">
        <v>264</v>
      </c>
      <c r="B40" s="5">
        <f t="shared" si="36"/>
        <v>4.462144420131291</v>
      </c>
      <c r="C40" s="5">
        <f>G20/W20</f>
        <v>0.59428571428571419</v>
      </c>
      <c r="D40" s="5">
        <f>F20/(F20+V20)*100</f>
        <v>81.692172101594423</v>
      </c>
      <c r="E40" s="5">
        <f>V20/(F20+V20)*100</f>
        <v>18.307827898405577</v>
      </c>
    </row>
    <row r="41" spans="1:5" s="3" customFormat="1" x14ac:dyDescent="0.35"/>
    <row r="42" spans="1:5" s="3" customFormat="1" ht="43.5" x14ac:dyDescent="0.35">
      <c r="A42" s="3" t="s">
        <v>0</v>
      </c>
      <c r="B42" s="3" t="s">
        <v>56</v>
      </c>
      <c r="C42" s="3" t="s">
        <v>57</v>
      </c>
      <c r="D42" s="3" t="s">
        <v>60</v>
      </c>
      <c r="E42" s="3" t="s">
        <v>47</v>
      </c>
    </row>
    <row r="43" spans="1:5" s="3" customFormat="1" x14ac:dyDescent="0.35">
      <c r="A43" s="4">
        <v>0</v>
      </c>
      <c r="B43" s="5">
        <f>D2/L2</f>
        <v>1080.2129032258065</v>
      </c>
      <c r="C43" s="5">
        <f>E2/M2</f>
        <v>1360.3030303030303</v>
      </c>
      <c r="D43" s="5">
        <f>AVERAGE(B43:C43)</f>
        <v>1220.2579667644184</v>
      </c>
      <c r="E43" s="5">
        <f>_xlfn.STDEV.S(B43:C43)</f>
        <v>198.05362819970654</v>
      </c>
    </row>
    <row r="44" spans="1:5" s="3" customFormat="1" x14ac:dyDescent="0.35">
      <c r="A44" s="4">
        <v>24</v>
      </c>
      <c r="B44" s="5">
        <f>D3/L3</f>
        <v>1334.2368839427663</v>
      </c>
      <c r="C44" s="5">
        <f t="shared" ref="C44" si="37">E3/M3</f>
        <v>2204.4913793103447</v>
      </c>
      <c r="D44" s="5">
        <f t="shared" ref="D44:D50" si="38">AVERAGE(B44:C44)</f>
        <v>1769.3641316265555</v>
      </c>
      <c r="E44" s="5">
        <f t="shared" ref="E44:E50" si="39">_xlfn.STDEV.S(B44:C44)</f>
        <v>615.36285503249189</v>
      </c>
    </row>
    <row r="45" spans="1:5" s="3" customFormat="1" x14ac:dyDescent="0.35">
      <c r="A45" s="4">
        <v>46</v>
      </c>
      <c r="B45" s="5">
        <f t="shared" ref="B45:C50" si="40">D4/L4</f>
        <v>2082.4438775510203</v>
      </c>
      <c r="C45" s="5">
        <f t="shared" si="40"/>
        <v>2430.4705882352941</v>
      </c>
      <c r="D45" s="5">
        <f t="shared" si="38"/>
        <v>2256.4572328931572</v>
      </c>
      <c r="E45" s="5">
        <f t="shared" si="39"/>
        <v>246.09204715889874</v>
      </c>
    </row>
    <row r="46" spans="1:5" s="3" customFormat="1" x14ac:dyDescent="0.35">
      <c r="A46" s="4">
        <v>70</v>
      </c>
      <c r="B46" s="5">
        <f t="shared" si="40"/>
        <v>2799.6709677419353</v>
      </c>
      <c r="C46" s="5">
        <f t="shared" si="40"/>
        <v>2453.4682926829269</v>
      </c>
      <c r="D46" s="5">
        <f t="shared" si="38"/>
        <v>2626.5696302124311</v>
      </c>
      <c r="E46" s="5">
        <f t="shared" si="39"/>
        <v>244.80225919914773</v>
      </c>
    </row>
    <row r="47" spans="1:5" s="3" customFormat="1" x14ac:dyDescent="0.35">
      <c r="A47" s="4">
        <v>96</v>
      </c>
      <c r="B47" s="5">
        <f t="shared" si="40"/>
        <v>2026.2290076335878</v>
      </c>
      <c r="C47" s="5">
        <f t="shared" si="40"/>
        <v>2001.9105960264901</v>
      </c>
      <c r="D47" s="5">
        <f>AVERAGE(B47:C47)</f>
        <v>2014.0698018300391</v>
      </c>
      <c r="E47" s="5">
        <f t="shared" si="39"/>
        <v>17.195713755064421</v>
      </c>
    </row>
    <row r="48" spans="1:5" s="3" customFormat="1" x14ac:dyDescent="0.35">
      <c r="A48" s="4">
        <v>120</v>
      </c>
      <c r="B48" s="5">
        <f t="shared" si="40"/>
        <v>1171.8362445414848</v>
      </c>
      <c r="C48" s="5">
        <f t="shared" si="40"/>
        <v>1106.8904109589041</v>
      </c>
      <c r="D48" s="5">
        <f t="shared" si="38"/>
        <v>1139.3633277501945</v>
      </c>
      <c r="E48" s="5">
        <f t="shared" si="39"/>
        <v>45.923639336055814</v>
      </c>
    </row>
    <row r="49" spans="1:5" s="3" customFormat="1" x14ac:dyDescent="0.35">
      <c r="A49" s="4">
        <v>168</v>
      </c>
      <c r="B49" s="5">
        <f t="shared" si="40"/>
        <v>28.697068403908794</v>
      </c>
      <c r="C49" s="5">
        <f t="shared" si="40"/>
        <v>25.634005763688762</v>
      </c>
      <c r="D49" s="5">
        <f t="shared" si="38"/>
        <v>27.165537083798778</v>
      </c>
      <c r="E49" s="5">
        <f t="shared" si="39"/>
        <v>2.1659123640987548</v>
      </c>
    </row>
    <row r="50" spans="1:5" s="3" customFormat="1" x14ac:dyDescent="0.35">
      <c r="A50" s="4">
        <v>264</v>
      </c>
      <c r="B50" s="5">
        <f t="shared" si="40"/>
        <v>4.102439024390244</v>
      </c>
      <c r="C50" s="5">
        <f t="shared" si="40"/>
        <v>4.8815165876777256</v>
      </c>
      <c r="D50" s="5">
        <f t="shared" si="38"/>
        <v>4.4919778060339848</v>
      </c>
      <c r="E50" s="5">
        <f t="shared" si="39"/>
        <v>0.55089102807086987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4E52-DB9E-440B-80A0-76AF77BF56CE}">
  <dimension ref="A1:Y50"/>
  <sheetViews>
    <sheetView topLeftCell="A37" workbookViewId="0">
      <selection activeCell="D43" sqref="D43:E5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</row>
    <row r="2" spans="1:23" x14ac:dyDescent="0.35">
      <c r="A2">
        <v>0</v>
      </c>
      <c r="B2">
        <v>676692</v>
      </c>
      <c r="C2">
        <v>730300</v>
      </c>
      <c r="D2">
        <v>676900</v>
      </c>
      <c r="E2">
        <v>730380</v>
      </c>
      <c r="F2">
        <v>208</v>
      </c>
      <c r="G2">
        <v>80</v>
      </c>
      <c r="H2">
        <v>687268</v>
      </c>
      <c r="I2">
        <v>747464</v>
      </c>
      <c r="J2">
        <v>1304</v>
      </c>
      <c r="K2">
        <v>1248</v>
      </c>
      <c r="L2">
        <v>1512</v>
      </c>
      <c r="M2">
        <v>1328</v>
      </c>
    </row>
    <row r="3" spans="1:23" x14ac:dyDescent="0.35">
      <c r="A3">
        <v>24</v>
      </c>
      <c r="B3">
        <v>1573368</v>
      </c>
      <c r="C3">
        <v>1968208</v>
      </c>
      <c r="D3">
        <v>1574280</v>
      </c>
      <c r="E3">
        <v>1968740</v>
      </c>
      <c r="F3">
        <v>914</v>
      </c>
      <c r="G3">
        <v>532</v>
      </c>
      <c r="H3">
        <v>1583152</v>
      </c>
      <c r="I3">
        <v>1982984</v>
      </c>
      <c r="J3">
        <v>2658</v>
      </c>
      <c r="K3">
        <v>2624</v>
      </c>
      <c r="L3">
        <v>3572</v>
      </c>
      <c r="M3">
        <v>3156</v>
      </c>
    </row>
    <row r="4" spans="1:23" x14ac:dyDescent="0.35">
      <c r="A4">
        <v>46</v>
      </c>
      <c r="B4">
        <v>3076928</v>
      </c>
      <c r="C4">
        <v>2716752</v>
      </c>
      <c r="D4">
        <v>3077656</v>
      </c>
      <c r="E4">
        <v>2717572</v>
      </c>
      <c r="F4">
        <v>728</v>
      </c>
      <c r="G4">
        <v>820</v>
      </c>
      <c r="H4">
        <v>3098024</v>
      </c>
      <c r="I4">
        <v>2727372</v>
      </c>
      <c r="J4">
        <v>4240</v>
      </c>
      <c r="K4">
        <v>2524</v>
      </c>
      <c r="L4">
        <v>4960</v>
      </c>
      <c r="M4">
        <v>3340</v>
      </c>
    </row>
    <row r="5" spans="1:23" x14ac:dyDescent="0.35">
      <c r="A5">
        <v>70</v>
      </c>
      <c r="B5">
        <v>3118344</v>
      </c>
      <c r="C5">
        <v>3635304</v>
      </c>
      <c r="D5">
        <v>3119312</v>
      </c>
      <c r="E5">
        <v>3635912</v>
      </c>
      <c r="F5">
        <v>616</v>
      </c>
      <c r="G5">
        <v>976</v>
      </c>
      <c r="H5">
        <v>3136352</v>
      </c>
      <c r="I5">
        <v>3670776</v>
      </c>
      <c r="J5">
        <v>2476</v>
      </c>
      <c r="K5">
        <v>3608</v>
      </c>
      <c r="L5">
        <v>3448</v>
      </c>
      <c r="M5">
        <v>4216</v>
      </c>
    </row>
    <row r="6" spans="1:23" x14ac:dyDescent="0.35">
      <c r="A6">
        <v>96</v>
      </c>
      <c r="B6">
        <v>5323020</v>
      </c>
      <c r="C6">
        <v>4671168</v>
      </c>
      <c r="D6">
        <v>5323540</v>
      </c>
      <c r="E6">
        <v>4671760</v>
      </c>
      <c r="F6">
        <v>520</v>
      </c>
      <c r="G6">
        <v>624</v>
      </c>
      <c r="H6">
        <v>5449640</v>
      </c>
      <c r="I6">
        <v>4703696</v>
      </c>
      <c r="J6">
        <v>4220</v>
      </c>
      <c r="K6">
        <v>2264</v>
      </c>
      <c r="L6">
        <v>4740</v>
      </c>
      <c r="M6">
        <v>2888</v>
      </c>
    </row>
    <row r="7" spans="1:23" x14ac:dyDescent="0.35">
      <c r="A7">
        <v>120</v>
      </c>
      <c r="B7">
        <v>4781896</v>
      </c>
      <c r="C7">
        <v>5461900</v>
      </c>
      <c r="D7">
        <v>4781976</v>
      </c>
      <c r="E7">
        <v>5461500</v>
      </c>
      <c r="F7">
        <v>768</v>
      </c>
      <c r="G7">
        <v>400</v>
      </c>
      <c r="H7">
        <v>4831776</v>
      </c>
      <c r="I7">
        <v>5553580</v>
      </c>
      <c r="J7">
        <v>2376</v>
      </c>
      <c r="K7">
        <v>3720</v>
      </c>
      <c r="L7">
        <v>3144</v>
      </c>
      <c r="M7">
        <v>4120</v>
      </c>
    </row>
    <row r="8" spans="1:23" x14ac:dyDescent="0.35">
      <c r="A8">
        <v>168</v>
      </c>
      <c r="B8">
        <v>407704</v>
      </c>
      <c r="C8">
        <v>466400</v>
      </c>
      <c r="D8">
        <v>400336</v>
      </c>
      <c r="E8">
        <v>457040</v>
      </c>
      <c r="F8">
        <v>168</v>
      </c>
      <c r="G8">
        <v>80</v>
      </c>
      <c r="H8">
        <v>4784200</v>
      </c>
      <c r="I8">
        <v>5226240</v>
      </c>
      <c r="J8">
        <v>3632</v>
      </c>
      <c r="K8">
        <v>5100</v>
      </c>
      <c r="L8">
        <v>3800</v>
      </c>
      <c r="M8">
        <v>5180</v>
      </c>
    </row>
    <row r="9" spans="1:23" x14ac:dyDescent="0.35">
      <c r="A9">
        <v>264</v>
      </c>
      <c r="B9">
        <v>30816</v>
      </c>
      <c r="C9">
        <v>33200</v>
      </c>
      <c r="D9">
        <v>30888</v>
      </c>
      <c r="E9">
        <v>33260</v>
      </c>
      <c r="F9">
        <v>248</v>
      </c>
      <c r="G9">
        <v>300</v>
      </c>
      <c r="H9">
        <v>4664424</v>
      </c>
      <c r="I9">
        <v>5414560</v>
      </c>
      <c r="J9">
        <v>3712</v>
      </c>
      <c r="K9">
        <v>4540</v>
      </c>
      <c r="L9">
        <v>3960</v>
      </c>
      <c r="M9">
        <v>4840</v>
      </c>
    </row>
    <row r="11" spans="1:23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3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3" x14ac:dyDescent="0.35">
      <c r="A13" s="2">
        <v>0</v>
      </c>
      <c r="B13" s="2">
        <f>AVERAGE(B2:C2)</f>
        <v>703496</v>
      </c>
      <c r="C13" s="2">
        <f>_xlfn.STDEV.S(B2:C2)</f>
        <v>37906.580325848437</v>
      </c>
      <c r="F13" s="2">
        <f>AVERAGE(D2:E2)</f>
        <v>703640</v>
      </c>
      <c r="G13" s="2">
        <f>_xlfn.STDEV.S(D2:E2)</f>
        <v>37816.070657856559</v>
      </c>
      <c r="J13" s="2">
        <f>AVERAGE(F2:G2)</f>
        <v>144</v>
      </c>
      <c r="K13" s="2">
        <f>_xlfn.STDEV.S(F2:G2)</f>
        <v>90.509667991878089</v>
      </c>
      <c r="N13" s="2">
        <f>AVERAGE(H2:I2)</f>
        <v>717366</v>
      </c>
      <c r="O13" s="2">
        <f>_xlfn.STDEV.S(H2:I2)</f>
        <v>42564.999800305413</v>
      </c>
      <c r="R13" s="2">
        <f>AVERAGE(J2:K2)</f>
        <v>1276</v>
      </c>
      <c r="S13" s="2">
        <f>_xlfn.STDEV.S(J2:K2)</f>
        <v>39.597979746446661</v>
      </c>
      <c r="V13" s="2">
        <f>AVERAGE(L2:M2)</f>
        <v>1420</v>
      </c>
      <c r="W13" s="2">
        <f>_xlfn.STDEV.S(L2:M2)</f>
        <v>130.10764773832474</v>
      </c>
    </row>
    <row r="14" spans="1:23" x14ac:dyDescent="0.35">
      <c r="A14" s="2">
        <v>24</v>
      </c>
      <c r="B14" s="2">
        <f t="shared" ref="B14:B20" si="0">AVERAGE(B3:C3)</f>
        <v>1770788</v>
      </c>
      <c r="C14" s="2">
        <f>_xlfn.STDEV.S(B3:C3)</f>
        <v>279194.04148369643</v>
      </c>
      <c r="F14" s="2">
        <f t="shared" ref="F14:F20" si="1">AVERAGE(D3:E3)</f>
        <v>1771510</v>
      </c>
      <c r="G14" s="2">
        <f t="shared" ref="G14:G20" si="2">_xlfn.STDEV.S(D3:E3)</f>
        <v>278925.34090684552</v>
      </c>
      <c r="J14" s="2">
        <f t="shared" ref="J14:J20" si="3">AVERAGE(F3:G3)</f>
        <v>723</v>
      </c>
      <c r="K14" s="2">
        <f t="shared" ref="K14:K20" si="4">_xlfn.STDEV.S(F3:G3)</f>
        <v>270.11479041326118</v>
      </c>
      <c r="N14" s="2">
        <f t="shared" ref="N14:N20" si="5">AVERAGE(H3:I3)</f>
        <v>1783068</v>
      </c>
      <c r="O14" s="2">
        <f t="shared" ref="O14:O20" si="6">_xlfn.STDEV.S(H3:I3)</f>
        <v>282723.91853537969</v>
      </c>
      <c r="R14" s="2">
        <f t="shared" ref="R14:R20" si="7">AVERAGE(J3:K3)</f>
        <v>2641</v>
      </c>
      <c r="S14" s="2">
        <f t="shared" ref="S14:S20" si="8">_xlfn.STDEV.S(J3:K3)</f>
        <v>24.041630560342615</v>
      </c>
      <c r="V14" s="2">
        <f t="shared" ref="V14:V20" si="9">AVERAGE(L3:M3)</f>
        <v>3364</v>
      </c>
      <c r="W14" s="2">
        <f t="shared" ref="W14:W20" si="10">_xlfn.STDEV.S(L3:M3)</f>
        <v>294.15642097360376</v>
      </c>
    </row>
    <row r="15" spans="1:23" x14ac:dyDescent="0.35">
      <c r="A15" s="2">
        <v>46</v>
      </c>
      <c r="B15" s="2">
        <f t="shared" si="0"/>
        <v>2896840</v>
      </c>
      <c r="C15" s="2">
        <f t="shared" ref="C15:C20" si="11">_xlfn.STDEV.S(B4:C4)</f>
        <v>254682.89202064593</v>
      </c>
      <c r="F15" s="2">
        <f t="shared" si="1"/>
        <v>2897614</v>
      </c>
      <c r="G15" s="2">
        <f t="shared" si="2"/>
        <v>254617.83819677678</v>
      </c>
      <c r="J15" s="2">
        <f t="shared" si="3"/>
        <v>774</v>
      </c>
      <c r="K15" s="2">
        <f t="shared" si="4"/>
        <v>65.053823869162372</v>
      </c>
      <c r="N15" s="2">
        <f t="shared" si="5"/>
        <v>2912698</v>
      </c>
      <c r="O15" s="2">
        <f t="shared" si="6"/>
        <v>262090.54266035621</v>
      </c>
      <c r="R15" s="2">
        <f t="shared" si="7"/>
        <v>3382</v>
      </c>
      <c r="S15" s="2">
        <f t="shared" si="8"/>
        <v>1213.3952365161156</v>
      </c>
      <c r="V15" s="2">
        <f t="shared" si="9"/>
        <v>4150</v>
      </c>
      <c r="W15" s="2">
        <f t="shared" si="10"/>
        <v>1145.5129855222069</v>
      </c>
    </row>
    <row r="16" spans="1:23" x14ac:dyDescent="0.35">
      <c r="A16" s="2">
        <v>70</v>
      </c>
      <c r="B16" s="2">
        <f t="shared" si="0"/>
        <v>3376824</v>
      </c>
      <c r="C16" s="2">
        <f t="shared" si="11"/>
        <v>365545.92160219763</v>
      </c>
      <c r="F16" s="2">
        <f t="shared" si="1"/>
        <v>3377612</v>
      </c>
      <c r="G16" s="2">
        <f t="shared" si="2"/>
        <v>365291.36316097045</v>
      </c>
      <c r="J16" s="2">
        <f t="shared" si="3"/>
        <v>796</v>
      </c>
      <c r="K16" s="2">
        <f t="shared" si="4"/>
        <v>254.55844122715712</v>
      </c>
      <c r="N16" s="2">
        <f t="shared" si="5"/>
        <v>3403564</v>
      </c>
      <c r="O16" s="2">
        <f t="shared" si="6"/>
        <v>377894.8344288395</v>
      </c>
      <c r="R16" s="2">
        <f t="shared" si="7"/>
        <v>3042</v>
      </c>
      <c r="S16" s="2">
        <f t="shared" si="8"/>
        <v>800.44487630317178</v>
      </c>
      <c r="V16" s="2">
        <f t="shared" si="9"/>
        <v>3832</v>
      </c>
      <c r="W16" s="2">
        <f t="shared" si="10"/>
        <v>543.05800795126845</v>
      </c>
    </row>
    <row r="17" spans="1:25" x14ac:dyDescent="0.35">
      <c r="A17" s="2">
        <v>96</v>
      </c>
      <c r="B17" s="2">
        <f t="shared" si="0"/>
        <v>4997094</v>
      </c>
      <c r="C17" s="2">
        <f t="shared" si="11"/>
        <v>460928.96953001339</v>
      </c>
      <c r="F17" s="2">
        <f t="shared" si="1"/>
        <v>4997650</v>
      </c>
      <c r="G17" s="2">
        <f t="shared" si="2"/>
        <v>460878.05784176796</v>
      </c>
      <c r="J17" s="2">
        <f t="shared" si="3"/>
        <v>572</v>
      </c>
      <c r="K17" s="2">
        <f t="shared" si="4"/>
        <v>73.53910524340094</v>
      </c>
      <c r="N17" s="2">
        <f t="shared" si="5"/>
        <v>5076668</v>
      </c>
      <c r="O17" s="2">
        <f t="shared" si="6"/>
        <v>527462.06078541803</v>
      </c>
      <c r="R17" s="2">
        <f t="shared" si="7"/>
        <v>3242</v>
      </c>
      <c r="S17" s="2">
        <f t="shared" si="8"/>
        <v>1383.100864000887</v>
      </c>
      <c r="V17" s="2">
        <f t="shared" si="9"/>
        <v>3814</v>
      </c>
      <c r="W17" s="2">
        <f t="shared" si="10"/>
        <v>1309.5617587574859</v>
      </c>
    </row>
    <row r="18" spans="1:25" x14ac:dyDescent="0.35">
      <c r="A18" s="2">
        <v>120</v>
      </c>
      <c r="B18" s="2">
        <f t="shared" si="0"/>
        <v>5121898</v>
      </c>
      <c r="C18" s="2">
        <f t="shared" si="11"/>
        <v>480835.43963397708</v>
      </c>
      <c r="F18" s="2">
        <f t="shared" si="1"/>
        <v>5121738</v>
      </c>
      <c r="G18" s="2">
        <f t="shared" si="2"/>
        <v>480496.02837900753</v>
      </c>
      <c r="J18" s="2">
        <f t="shared" si="3"/>
        <v>584</v>
      </c>
      <c r="K18" s="2">
        <f t="shared" si="4"/>
        <v>260.21529547664949</v>
      </c>
      <c r="N18" s="2">
        <f t="shared" si="5"/>
        <v>5192678</v>
      </c>
      <c r="O18" s="2">
        <f t="shared" si="6"/>
        <v>510392.50308757473</v>
      </c>
      <c r="R18" s="2">
        <f t="shared" si="7"/>
        <v>3048</v>
      </c>
      <c r="S18" s="2">
        <f t="shared" si="8"/>
        <v>950.35151391471982</v>
      </c>
      <c r="V18" s="2">
        <f t="shared" si="9"/>
        <v>3632</v>
      </c>
      <c r="W18" s="2">
        <f t="shared" si="10"/>
        <v>690.13621843807039</v>
      </c>
    </row>
    <row r="19" spans="1:25" x14ac:dyDescent="0.35">
      <c r="A19" s="2">
        <v>168</v>
      </c>
      <c r="B19" s="2">
        <f t="shared" si="0"/>
        <v>437052</v>
      </c>
      <c r="C19" s="2">
        <f t="shared" si="11"/>
        <v>41504.339628525595</v>
      </c>
      <c r="F19" s="2">
        <f t="shared" si="1"/>
        <v>428688</v>
      </c>
      <c r="G19" s="2">
        <f t="shared" si="2"/>
        <v>40095.782920401987</v>
      </c>
      <c r="J19" s="2">
        <f t="shared" si="3"/>
        <v>124</v>
      </c>
      <c r="K19" s="2">
        <f t="shared" si="4"/>
        <v>62.22539674441618</v>
      </c>
      <c r="N19" s="2">
        <f t="shared" si="5"/>
        <v>5005220</v>
      </c>
      <c r="O19" s="2">
        <f t="shared" si="6"/>
        <v>312569.48155570147</v>
      </c>
      <c r="R19" s="2">
        <f t="shared" si="7"/>
        <v>4366</v>
      </c>
      <c r="S19" s="2">
        <f t="shared" si="8"/>
        <v>1038.0327547818517</v>
      </c>
      <c r="V19" s="2">
        <f t="shared" si="9"/>
        <v>4490</v>
      </c>
      <c r="W19" s="2">
        <f t="shared" si="10"/>
        <v>975.80735803743562</v>
      </c>
    </row>
    <row r="20" spans="1:25" x14ac:dyDescent="0.35">
      <c r="A20" s="2">
        <v>264</v>
      </c>
      <c r="B20" s="2">
        <f t="shared" si="0"/>
        <v>32008</v>
      </c>
      <c r="C20" s="2">
        <f t="shared" si="11"/>
        <v>1685.7425663487293</v>
      </c>
      <c r="F20" s="2">
        <f t="shared" si="1"/>
        <v>32074</v>
      </c>
      <c r="G20" s="2">
        <f t="shared" si="2"/>
        <v>1677.2572849744906</v>
      </c>
      <c r="J20" s="2">
        <f t="shared" si="3"/>
        <v>274</v>
      </c>
      <c r="K20" s="2">
        <f t="shared" si="4"/>
        <v>36.76955262170047</v>
      </c>
      <c r="N20" s="2">
        <f t="shared" si="5"/>
        <v>5039492</v>
      </c>
      <c r="O20" s="2">
        <f t="shared" si="6"/>
        <v>530426.25241215201</v>
      </c>
      <c r="R20" s="2">
        <f t="shared" si="7"/>
        <v>4126</v>
      </c>
      <c r="S20" s="2">
        <f t="shared" si="8"/>
        <v>585.4844148224613</v>
      </c>
      <c r="V20" s="2">
        <f t="shared" si="9"/>
        <v>4400</v>
      </c>
      <c r="W20" s="2">
        <f t="shared" si="10"/>
        <v>622.25396744416184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18.021029960472525</v>
      </c>
      <c r="C24" s="1">
        <f t="shared" ref="C24:C30" si="13">($A14-$A$13)/(1/LOG(2)*LOG(B14/B$13))</f>
        <v>18.021029960472525</v>
      </c>
      <c r="D24">
        <f>(B14/B13)^(1/($A14-$A13))-1</f>
        <v>3.9212525058288428E-2</v>
      </c>
      <c r="E24">
        <f>(B14/B$13)^(1/($A14-$A$13))-1</f>
        <v>3.9212525058288428E-2</v>
      </c>
      <c r="F24" s="1">
        <f t="shared" ref="F24:F30" si="14">($A14-$A13)/(1/LOG(2)*LOG(F14/F13))</f>
        <v>18.017068390695343</v>
      </c>
      <c r="G24" s="1">
        <f t="shared" ref="G24:G30" si="15">($A14-$A$13)/(1/LOG(2)*LOG(F14/F$13))</f>
        <v>18.017068390695343</v>
      </c>
      <c r="H24">
        <f>(F14/F13)^(1/($A14-$A13))-1</f>
        <v>3.9221313972876093E-2</v>
      </c>
      <c r="I24">
        <f>(F14/F$13)^(1/($A14-$A$13))-1</f>
        <v>3.9221313972876093E-2</v>
      </c>
      <c r="J24" s="1">
        <f t="shared" ref="J24:J30" si="16">($A14-$A13)/(1/LOG(2)*LOG(J14/J13))</f>
        <v>10.309602361173184</v>
      </c>
      <c r="K24" s="1">
        <f t="shared" ref="K24:K30" si="17">($A14-$A$13)/(1/LOG(2)*LOG(J14/J$13))</f>
        <v>10.309602361173184</v>
      </c>
      <c r="L24">
        <f>(J14/J13)^(1/($A14-$A13))-1</f>
        <v>6.9544827856167224E-2</v>
      </c>
      <c r="M24">
        <f>(J14/J$13)^(1/($A14-$A$13))-1</f>
        <v>6.9544827856167224E-2</v>
      </c>
      <c r="N24" s="1">
        <f t="shared" ref="N24:N30" si="18">($A14-$A13)/(1/LOG(2)*LOG(N14/N13))</f>
        <v>18.270673884258173</v>
      </c>
      <c r="O24" s="1">
        <f t="shared" ref="O24:O30" si="19">($A14-$A$13)/(1/LOG(2)*LOG(N14/N$13))</f>
        <v>18.270673884258173</v>
      </c>
      <c r="P24">
        <f>(N14/N13)^(1/($A14-$A13))-1</f>
        <v>3.8666512611900128E-2</v>
      </c>
      <c r="Q24">
        <f>(N14/N$13)^(1/($A14-$A$13))-1</f>
        <v>3.8666512611900128E-2</v>
      </c>
      <c r="R24" s="1">
        <f t="shared" ref="R24:R30" si="20">($A14-$A13)/(1/LOG(2)*LOG(R14/R13))</f>
        <v>22.868991773960339</v>
      </c>
      <c r="S24" s="1">
        <f t="shared" ref="S24:S30" si="21">($A14-$A$13)/(1/LOG(2)*LOG(R14/R$13))</f>
        <v>22.868991773960339</v>
      </c>
      <c r="T24">
        <f>(R14/R13)^(1/($A14-$A13))-1</f>
        <v>3.0773485299678827E-2</v>
      </c>
      <c r="U24">
        <f>(R14/R$13)^(1/($A14-$A$13))-1</f>
        <v>3.0773485299678827E-2</v>
      </c>
      <c r="V24" s="1">
        <f t="shared" ref="V24:V30" si="22">($A14-$A13)/(1/LOG(2)*LOG(V14/V13))</f>
        <v>19.288158056130104</v>
      </c>
      <c r="W24" s="1">
        <f t="shared" ref="W24:W30" si="23">($A14-$A$13)/(1/LOG(2)*LOG(V14/V$13))</f>
        <v>19.288158056130104</v>
      </c>
      <c r="X24">
        <f>(V14/V13)^(1/($A14-$A13))-1</f>
        <v>3.6589928958783879E-2</v>
      </c>
      <c r="Y24">
        <f>(V14/V$13)^(1/($A14-$A$13))-1</f>
        <v>3.6589928958783879E-2</v>
      </c>
    </row>
    <row r="25" spans="1:25" x14ac:dyDescent="0.35">
      <c r="A25" s="2">
        <v>46</v>
      </c>
      <c r="B25" s="1">
        <f t="shared" si="12"/>
        <v>30.982053599070952</v>
      </c>
      <c r="C25" s="1">
        <f t="shared" si="13"/>
        <v>22.528414088660664</v>
      </c>
      <c r="D25">
        <f t="shared" ref="D25:D30" si="24">(B15/B14)^(1/($A15-$A14))-1</f>
        <v>2.262468037030918E-2</v>
      </c>
      <c r="E25">
        <f t="shared" ref="E25:E30" si="25">(B15/B$13)^(1/($A15-$A$13))-1</f>
        <v>3.1245903644240514E-2</v>
      </c>
      <c r="F25" s="1">
        <f t="shared" si="14"/>
        <v>30.990899679204723</v>
      </c>
      <c r="G25" s="1">
        <f t="shared" si="15"/>
        <v>22.527419584856521</v>
      </c>
      <c r="H25">
        <f t="shared" ref="H25:H30" si="26">(F15/F14)^(1/($A15-$A14))-1</f>
        <v>2.2618149864376491E-2</v>
      </c>
      <c r="I25">
        <f t="shared" ref="I25:I30" si="27">(F15/F$13)^(1/($A15-$A$13))-1</f>
        <v>3.1247304367604922E-2</v>
      </c>
      <c r="J25" s="1">
        <f t="shared" si="16"/>
        <v>223.71838025936793</v>
      </c>
      <c r="K25" s="1">
        <f t="shared" si="17"/>
        <v>18.959184034162828</v>
      </c>
      <c r="L25">
        <f t="shared" ref="L25:L30" si="28">(J15/J14)^(1/($A15-$A14))-1</f>
        <v>3.1031070373148673E-3</v>
      </c>
      <c r="M25">
        <f>(J15/J$13)^(1/($A15-$A$13))-1</f>
        <v>3.7236504188919328E-2</v>
      </c>
      <c r="N25" s="1">
        <f t="shared" si="18"/>
        <v>31.073692040041021</v>
      </c>
      <c r="O25" s="1">
        <f t="shared" si="19"/>
        <v>22.754537133693827</v>
      </c>
      <c r="P25">
        <f t="shared" ref="P25:P30" si="29">(N15/N14)^(1/($A15-$A14))-1</f>
        <v>2.2557211717585179E-2</v>
      </c>
      <c r="Q25">
        <f t="shared" ref="Q25:Q30" si="30">(N15/N$13)^(1/($A15-$A$13))-1</f>
        <v>3.0930644636036009E-2</v>
      </c>
      <c r="R25" s="1">
        <f t="shared" si="20"/>
        <v>61.660513437967907</v>
      </c>
      <c r="S25" s="1">
        <f t="shared" si="21"/>
        <v>32.711149942412796</v>
      </c>
      <c r="T25">
        <f t="shared" ref="T25:T30" si="31">(R15/R14)^(1/($A15-$A14))-1</f>
        <v>1.1304767591546527E-2</v>
      </c>
      <c r="U25">
        <f t="shared" ref="U25:U30" si="32">(R15/R$13)^(1/($A15-$A$13))-1</f>
        <v>2.1416037103075825E-2</v>
      </c>
      <c r="V25" s="1">
        <f t="shared" si="22"/>
        <v>72.623168108049441</v>
      </c>
      <c r="W25" s="1">
        <f t="shared" si="23"/>
        <v>29.730735065233045</v>
      </c>
      <c r="X25">
        <f t="shared" ref="X25:X30" si="33">(V15/V14)^(1/($A15-$A14))-1</f>
        <v>9.5901293921669684E-3</v>
      </c>
      <c r="Y25">
        <f t="shared" ref="Y25:Y30" si="34">(V15/V$13)^(1/($A15-$A$13))-1</f>
        <v>2.3588061748687439E-2</v>
      </c>
    </row>
    <row r="26" spans="1:25" x14ac:dyDescent="0.35">
      <c r="A26" s="2">
        <v>70</v>
      </c>
      <c r="B26" s="1">
        <f t="shared" si="12"/>
        <v>108.50548007633456</v>
      </c>
      <c r="C26" s="1">
        <f t="shared" si="13"/>
        <v>30.931668084626988</v>
      </c>
      <c r="D26">
        <f t="shared" si="24"/>
        <v>6.4085782517695478E-3</v>
      </c>
      <c r="E26">
        <f t="shared" si="25"/>
        <v>2.266194886053019E-2</v>
      </c>
      <c r="F26" s="1">
        <f t="shared" si="14"/>
        <v>108.52942346826785</v>
      </c>
      <c r="G26" s="1">
        <f t="shared" si="15"/>
        <v>30.931103007935107</v>
      </c>
      <c r="H26">
        <f t="shared" si="26"/>
        <v>6.4071598933510554E-3</v>
      </c>
      <c r="I26">
        <f t="shared" si="27"/>
        <v>2.2662367525179805E-2</v>
      </c>
      <c r="J26" s="1">
        <f t="shared" si="16"/>
        <v>593.54718648325638</v>
      </c>
      <c r="K26" s="1">
        <f t="shared" si="17"/>
        <v>28.377999273986301</v>
      </c>
      <c r="L26">
        <f t="shared" si="28"/>
        <v>1.1684868266728099E-3</v>
      </c>
      <c r="M26">
        <f>(J16/J$13)^(1/($A16-$A$13))-1</f>
        <v>2.4726259132081152E-2</v>
      </c>
      <c r="N26" s="1">
        <f t="shared" si="18"/>
        <v>106.81377856199738</v>
      </c>
      <c r="O26" s="1">
        <f t="shared" si="19"/>
        <v>31.16284193359964</v>
      </c>
      <c r="P26">
        <f t="shared" si="29"/>
        <v>6.510406095520338E-3</v>
      </c>
      <c r="Q26">
        <f t="shared" si="30"/>
        <v>2.2491960272388312E-2</v>
      </c>
      <c r="R26" s="1">
        <f t="shared" si="20"/>
        <v>-157.00999924969989</v>
      </c>
      <c r="S26" s="1">
        <f t="shared" si="21"/>
        <v>55.848457491018998</v>
      </c>
      <c r="T26">
        <f t="shared" si="31"/>
        <v>-4.4049386993206818E-3</v>
      </c>
      <c r="U26">
        <f t="shared" si="32"/>
        <v>1.2488553159395233E-2</v>
      </c>
      <c r="V26" s="1">
        <f t="shared" si="22"/>
        <v>-208.67065635889173</v>
      </c>
      <c r="W26" s="1">
        <f t="shared" si="23"/>
        <v>48.875629024496639</v>
      </c>
      <c r="X26">
        <f t="shared" si="33"/>
        <v>-3.3162172536888024E-3</v>
      </c>
      <c r="Y26">
        <f t="shared" si="34"/>
        <v>1.4282896590271488E-2</v>
      </c>
    </row>
    <row r="27" spans="1:25" x14ac:dyDescent="0.35">
      <c r="A27" s="2">
        <v>96</v>
      </c>
      <c r="B27" s="1">
        <f t="shared" si="12"/>
        <v>45.983324041003613</v>
      </c>
      <c r="C27" s="1">
        <f t="shared" si="13"/>
        <v>33.940548229633599</v>
      </c>
      <c r="D27">
        <f t="shared" si="24"/>
        <v>1.5188065528161543E-2</v>
      </c>
      <c r="E27">
        <f t="shared" si="25"/>
        <v>2.0632355931177626E-2</v>
      </c>
      <c r="F27" s="1">
        <f t="shared" si="14"/>
        <v>45.997650701111127</v>
      </c>
      <c r="G27" s="1">
        <f t="shared" si="15"/>
        <v>33.942165441918156</v>
      </c>
      <c r="H27">
        <f t="shared" si="26"/>
        <v>1.5183299244456272E-2</v>
      </c>
      <c r="I27">
        <f t="shared" si="27"/>
        <v>2.0631362807778553E-2</v>
      </c>
      <c r="J27" s="1">
        <f t="shared" si="16"/>
        <v>-54.535544662974374</v>
      </c>
      <c r="K27" s="1">
        <f t="shared" si="17"/>
        <v>48.242506993931976</v>
      </c>
      <c r="L27">
        <f t="shared" si="28"/>
        <v>-1.2629576454601388E-2</v>
      </c>
      <c r="M27">
        <f t="shared" ref="M27:M30" si="35">(J17/J$13)^(1/($A17-$A$13))-1</f>
        <v>1.4471691454776447E-2</v>
      </c>
      <c r="N27" s="1">
        <f t="shared" si="18"/>
        <v>45.073495015145475</v>
      </c>
      <c r="O27" s="1">
        <f t="shared" si="19"/>
        <v>34.005163907409525</v>
      </c>
      <c r="P27">
        <f t="shared" si="29"/>
        <v>1.5497007012720498E-2</v>
      </c>
      <c r="Q27">
        <f t="shared" si="30"/>
        <v>2.0592749971117374E-2</v>
      </c>
      <c r="R27" s="1">
        <f t="shared" si="20"/>
        <v>283.02727517052381</v>
      </c>
      <c r="S27" s="1">
        <f t="shared" si="21"/>
        <v>71.361894689026272</v>
      </c>
      <c r="T27">
        <f t="shared" si="31"/>
        <v>2.4520486535237751E-3</v>
      </c>
      <c r="U27">
        <f t="shared" si="32"/>
        <v>9.7604530081709662E-3</v>
      </c>
      <c r="V27" s="1">
        <f t="shared" si="22"/>
        <v>-3827.6286763146795</v>
      </c>
      <c r="W27" s="1">
        <f t="shared" si="23"/>
        <v>67.348858505207474</v>
      </c>
      <c r="X27">
        <f t="shared" si="33"/>
        <v>-1.8107410142820246E-4</v>
      </c>
      <c r="Y27">
        <f t="shared" si="34"/>
        <v>1.0345035717857387E-2</v>
      </c>
    </row>
    <row r="28" spans="1:25" x14ac:dyDescent="0.35">
      <c r="A28" s="2">
        <v>120</v>
      </c>
      <c r="B28" s="1">
        <f t="shared" si="12"/>
        <v>674.3625309642448</v>
      </c>
      <c r="C28" s="1">
        <f t="shared" si="13"/>
        <v>41.898499252332407</v>
      </c>
      <c r="D28">
        <f t="shared" si="24"/>
        <v>1.0283838415399149E-3</v>
      </c>
      <c r="E28">
        <f t="shared" si="25"/>
        <v>1.6681085878073709E-2</v>
      </c>
      <c r="F28" s="1">
        <f t="shared" si="14"/>
        <v>678.28060849788437</v>
      </c>
      <c r="G28" s="1">
        <f t="shared" si="15"/>
        <v>41.90347877954553</v>
      </c>
      <c r="H28">
        <f t="shared" si="26"/>
        <v>1.022440362212329E-3</v>
      </c>
      <c r="I28">
        <f t="shared" si="27"/>
        <v>1.667908717011457E-2</v>
      </c>
      <c r="J28" s="1">
        <f t="shared" si="16"/>
        <v>801.24935870240279</v>
      </c>
      <c r="K28" s="1">
        <f t="shared" si="17"/>
        <v>59.408894644357041</v>
      </c>
      <c r="L28">
        <f t="shared" si="28"/>
        <v>8.6545726921993804E-4</v>
      </c>
      <c r="M28">
        <f t="shared" si="35"/>
        <v>1.1735726925168111E-2</v>
      </c>
      <c r="N28" s="1">
        <f t="shared" si="18"/>
        <v>736.26743401061663</v>
      </c>
      <c r="O28" s="1">
        <f t="shared" si="19"/>
        <v>42.02125762873586</v>
      </c>
      <c r="P28">
        <f t="shared" si="29"/>
        <v>9.418772678155829E-4</v>
      </c>
      <c r="Q28">
        <f t="shared" si="30"/>
        <v>1.6631951740999407E-2</v>
      </c>
      <c r="R28" s="1">
        <f t="shared" si="20"/>
        <v>-269.59873859996645</v>
      </c>
      <c r="S28" s="1">
        <f t="shared" si="21"/>
        <v>95.523561052650351</v>
      </c>
      <c r="T28">
        <f t="shared" si="31"/>
        <v>-2.5677304547568891E-3</v>
      </c>
      <c r="U28">
        <f t="shared" si="32"/>
        <v>7.2826861469128534E-3</v>
      </c>
      <c r="V28" s="1">
        <f t="shared" si="22"/>
        <v>-340.22940041853298</v>
      </c>
      <c r="W28" s="1">
        <f t="shared" si="23"/>
        <v>88.569169087858256</v>
      </c>
      <c r="X28">
        <f t="shared" si="33"/>
        <v>-2.0352197276253259E-3</v>
      </c>
      <c r="Y28">
        <f t="shared" si="34"/>
        <v>7.8567585208908497E-3</v>
      </c>
    </row>
    <row r="29" spans="1:25" x14ac:dyDescent="0.35">
      <c r="A29" s="2">
        <v>168</v>
      </c>
      <c r="B29" s="1">
        <f t="shared" si="12"/>
        <v>-13.518074047201976</v>
      </c>
      <c r="C29" s="1">
        <f t="shared" si="13"/>
        <v>-244.63503708453419</v>
      </c>
      <c r="D29">
        <f t="shared" si="24"/>
        <v>-4.9983177740136719E-2</v>
      </c>
      <c r="E29">
        <f t="shared" si="25"/>
        <v>-2.8293826446192938E-3</v>
      </c>
      <c r="F29" s="1">
        <f t="shared" si="14"/>
        <v>-13.412940940708625</v>
      </c>
      <c r="G29" s="1">
        <f t="shared" si="15"/>
        <v>-234.99479051639284</v>
      </c>
      <c r="H29">
        <f t="shared" si="26"/>
        <v>-5.0364919921015217E-2</v>
      </c>
      <c r="I29">
        <f t="shared" si="27"/>
        <v>-2.9452819795715568E-3</v>
      </c>
      <c r="J29" s="1">
        <f t="shared" si="16"/>
        <v>-21.470474812774871</v>
      </c>
      <c r="K29" s="1">
        <f t="shared" si="17"/>
        <v>-778.75594191051789</v>
      </c>
      <c r="L29">
        <f t="shared" si="28"/>
        <v>-3.1768180922474909E-2</v>
      </c>
      <c r="M29">
        <f t="shared" si="35"/>
        <v>-8.8967385039706581E-4</v>
      </c>
      <c r="N29" s="1">
        <f t="shared" si="18"/>
        <v>-904.88724033978963</v>
      </c>
      <c r="O29" s="1">
        <f t="shared" si="19"/>
        <v>59.943220749020611</v>
      </c>
      <c r="P29">
        <f t="shared" si="29"/>
        <v>-7.657106219562948E-4</v>
      </c>
      <c r="Q29">
        <f t="shared" si="30"/>
        <v>1.1630510192770727E-2</v>
      </c>
      <c r="R29" s="1">
        <f t="shared" si="20"/>
        <v>92.583800793172799</v>
      </c>
      <c r="S29" s="1">
        <f t="shared" si="21"/>
        <v>94.664750917289282</v>
      </c>
      <c r="T29">
        <f t="shared" si="31"/>
        <v>7.514795834810073E-3</v>
      </c>
      <c r="U29">
        <f t="shared" si="32"/>
        <v>7.3489977436236309E-3</v>
      </c>
      <c r="V29" s="1">
        <f t="shared" si="22"/>
        <v>156.88774339747772</v>
      </c>
      <c r="W29" s="1">
        <f t="shared" si="23"/>
        <v>101.15457621125041</v>
      </c>
      <c r="X29">
        <f t="shared" si="33"/>
        <v>4.4278834214552809E-3</v>
      </c>
      <c r="Y29">
        <f t="shared" si="34"/>
        <v>6.8758872412117977E-3</v>
      </c>
    </row>
    <row r="30" spans="1:25" x14ac:dyDescent="0.35">
      <c r="A30" s="2">
        <v>264</v>
      </c>
      <c r="B30" s="1">
        <f t="shared" si="12"/>
        <v>-25.455409868323052</v>
      </c>
      <c r="C30" s="1">
        <f t="shared" si="13"/>
        <v>-59.218879007987987</v>
      </c>
      <c r="D30">
        <f t="shared" si="24"/>
        <v>-2.6862467040235871E-2</v>
      </c>
      <c r="E30">
        <f t="shared" si="25"/>
        <v>-1.1636599452604424E-2</v>
      </c>
      <c r="F30" s="1">
        <f t="shared" si="14"/>
        <v>-25.66534847846242</v>
      </c>
      <c r="G30" s="1">
        <f t="shared" si="15"/>
        <v>-59.254453630452758</v>
      </c>
      <c r="H30">
        <f t="shared" si="26"/>
        <v>-2.6645690086139706E-2</v>
      </c>
      <c r="I30">
        <f t="shared" si="27"/>
        <v>-1.1629653964661757E-2</v>
      </c>
      <c r="J30" s="1">
        <f t="shared" si="16"/>
        <v>83.928132256257612</v>
      </c>
      <c r="K30" s="1">
        <f t="shared" si="17"/>
        <v>284.44993606572217</v>
      </c>
      <c r="L30">
        <f t="shared" si="28"/>
        <v>8.2930162521535067E-3</v>
      </c>
      <c r="M30">
        <f t="shared" si="35"/>
        <v>2.4397699172253873E-3</v>
      </c>
      <c r="N30" s="1">
        <f t="shared" si="18"/>
        <v>9751.3120234234848</v>
      </c>
      <c r="O30" s="1">
        <f t="shared" si="19"/>
        <v>93.86676554697253</v>
      </c>
      <c r="P30">
        <f t="shared" si="29"/>
        <v>7.108497961905158E-5</v>
      </c>
      <c r="Q30">
        <f t="shared" si="30"/>
        <v>7.4117044104180518E-3</v>
      </c>
      <c r="R30" s="1">
        <f t="shared" si="20"/>
        <v>-1176.927670245547</v>
      </c>
      <c r="S30" s="1">
        <f t="shared" si="21"/>
        <v>155.92557107205127</v>
      </c>
      <c r="T30">
        <f t="shared" si="31"/>
        <v>-5.8877289141412437E-4</v>
      </c>
      <c r="U30">
        <f t="shared" si="32"/>
        <v>4.455267406137553E-3</v>
      </c>
      <c r="V30" s="1">
        <f t="shared" si="22"/>
        <v>-3286.3295532173793</v>
      </c>
      <c r="W30" s="1">
        <f t="shared" si="23"/>
        <v>161.80311488620907</v>
      </c>
      <c r="X30">
        <f t="shared" si="33"/>
        <v>-2.1089610026892025E-4</v>
      </c>
      <c r="Y30">
        <f t="shared" si="34"/>
        <v>4.2930816719166653E-3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5" s="3" customFormat="1" x14ac:dyDescent="0.35">
      <c r="A33" s="4">
        <v>0</v>
      </c>
      <c r="B33" s="5">
        <f>F13/V13</f>
        <v>495.52112676056339</v>
      </c>
      <c r="C33" s="5">
        <f>G13/W13</f>
        <v>290.65217391304344</v>
      </c>
      <c r="D33" s="5">
        <f>F13/(F13+V13)*100</f>
        <v>99.798598700819781</v>
      </c>
      <c r="E33" s="5">
        <f>V13/(F13+V13)*100</f>
        <v>0.2014012991802116</v>
      </c>
    </row>
    <row r="34" spans="1:5" s="3" customFormat="1" x14ac:dyDescent="0.35">
      <c r="A34" s="4">
        <v>24</v>
      </c>
      <c r="B34" s="5">
        <f t="shared" ref="B34:C40" si="36">F14/V14</f>
        <v>526.6082045184304</v>
      </c>
      <c r="C34" s="5">
        <f t="shared" si="36"/>
        <v>948.22115384615381</v>
      </c>
      <c r="D34" s="5">
        <f>F14/(F14+V14)*100</f>
        <v>99.810465418953683</v>
      </c>
      <c r="E34" s="5">
        <f>V14/(F14+V14)*100</f>
        <v>0.18953458104631651</v>
      </c>
    </row>
    <row r="35" spans="1:5" s="3" customFormat="1" x14ac:dyDescent="0.35">
      <c r="A35" s="4">
        <v>46</v>
      </c>
      <c r="B35" s="5">
        <f t="shared" si="36"/>
        <v>698.22024096385542</v>
      </c>
      <c r="C35" s="5">
        <f t="shared" si="36"/>
        <v>222.27407407407409</v>
      </c>
      <c r="D35" s="5">
        <f>F15/(F15+V15)*100</f>
        <v>99.856983545181492</v>
      </c>
      <c r="E35" s="5">
        <f>V15/(F15+V15)*100</f>
        <v>0.1430164548185173</v>
      </c>
    </row>
    <row r="36" spans="1:5" s="3" customFormat="1" x14ac:dyDescent="0.35">
      <c r="A36" s="4">
        <v>70</v>
      </c>
      <c r="B36" s="5">
        <f t="shared" si="36"/>
        <v>881.42275574112739</v>
      </c>
      <c r="C36" s="5">
        <f t="shared" si="36"/>
        <v>672.65625</v>
      </c>
      <c r="D36" s="5">
        <f>F16/(F16+V16)*100</f>
        <v>99.886675633250178</v>
      </c>
      <c r="E36" s="5">
        <f>V16/(F16+V16)*100</f>
        <v>0.11332436674982641</v>
      </c>
    </row>
    <row r="37" spans="1:5" s="3" customFormat="1" x14ac:dyDescent="0.35">
      <c r="A37" s="4">
        <v>96</v>
      </c>
      <c r="B37" s="5">
        <f t="shared" si="36"/>
        <v>1310.3434714210803</v>
      </c>
      <c r="C37" s="5">
        <f t="shared" si="36"/>
        <v>351.93304535637151</v>
      </c>
      <c r="D37" s="5">
        <f>F17/(F17+V17)*100</f>
        <v>99.923742328246291</v>
      </c>
      <c r="E37" s="5">
        <f>V17/(F17+V17)*100</f>
        <v>7.625767175371051E-2</v>
      </c>
    </row>
    <row r="38" spans="1:5" s="3" customFormat="1" x14ac:dyDescent="0.35">
      <c r="A38" s="4">
        <v>120</v>
      </c>
      <c r="B38" s="5">
        <f t="shared" si="36"/>
        <v>1410.1701541850221</v>
      </c>
      <c r="C38" s="5">
        <f t="shared" si="36"/>
        <v>696.23360655737702</v>
      </c>
      <c r="D38" s="5">
        <f>F18/(F18+V18)*100</f>
        <v>99.929136823292751</v>
      </c>
      <c r="E38" s="5">
        <f>V18/(F18+V18)*100</f>
        <v>7.0863176707242598E-2</v>
      </c>
    </row>
    <row r="39" spans="1:5" s="3" customFormat="1" x14ac:dyDescent="0.35">
      <c r="A39" s="4">
        <v>168</v>
      </c>
      <c r="B39" s="5">
        <f t="shared" si="36"/>
        <v>95.476169265033406</v>
      </c>
      <c r="C39" s="5">
        <f t="shared" si="36"/>
        <v>41.089855072463763</v>
      </c>
      <c r="D39" s="5">
        <f>F19/(F19+V19)*100</f>
        <v>98.963474599356388</v>
      </c>
      <c r="E39" s="5">
        <f>V19/(F19+V19)*100</f>
        <v>1.0365254006436153</v>
      </c>
    </row>
    <row r="40" spans="1:5" s="3" customFormat="1" x14ac:dyDescent="0.35">
      <c r="A40" s="4">
        <v>264</v>
      </c>
      <c r="B40" s="5">
        <f t="shared" si="36"/>
        <v>7.2895454545454541</v>
      </c>
      <c r="C40" s="5">
        <f>G20/W20</f>
        <v>2.6954545454545453</v>
      </c>
      <c r="D40" s="5">
        <f>F20/(F20+V20)*100</f>
        <v>87.936612381422378</v>
      </c>
      <c r="E40" s="5">
        <f>V20/(F20+V20)*100</f>
        <v>12.063387618577618</v>
      </c>
    </row>
    <row r="41" spans="1:5" s="3" customFormat="1" x14ac:dyDescent="0.35"/>
    <row r="42" spans="1:5" s="3" customFormat="1" ht="43.5" x14ac:dyDescent="0.35">
      <c r="A42" s="3" t="s">
        <v>0</v>
      </c>
      <c r="B42" s="3" t="s">
        <v>56</v>
      </c>
      <c r="C42" s="3" t="s">
        <v>57</v>
      </c>
      <c r="D42" s="3" t="s">
        <v>60</v>
      </c>
      <c r="E42" s="3" t="s">
        <v>47</v>
      </c>
    </row>
    <row r="43" spans="1:5" s="3" customFormat="1" x14ac:dyDescent="0.35">
      <c r="A43" s="4">
        <v>0</v>
      </c>
      <c r="B43" s="5">
        <f>D2/L2</f>
        <v>447.68518518518516</v>
      </c>
      <c r="C43" s="5">
        <f>E2/M2</f>
        <v>549.98493975903614</v>
      </c>
      <c r="D43" s="5">
        <f>AVERAGE(B43:C43)</f>
        <v>498.83506247211062</v>
      </c>
      <c r="E43" s="5">
        <f>_xlfn.STDEV.S(B43:C43)</f>
        <v>72.336850172889712</v>
      </c>
    </row>
    <row r="44" spans="1:5" s="3" customFormat="1" x14ac:dyDescent="0.35">
      <c r="A44" s="4">
        <v>24</v>
      </c>
      <c r="B44" s="5">
        <f>D3/L3</f>
        <v>440.72788353863382</v>
      </c>
      <c r="C44" s="5">
        <f t="shared" ref="C44" si="37">E3/M3</f>
        <v>623.80861850443603</v>
      </c>
      <c r="D44" s="5">
        <f t="shared" ref="D44:D50" si="38">AVERAGE(B44:C44)</f>
        <v>532.26825102153498</v>
      </c>
      <c r="E44" s="5">
        <f t="shared" ref="E44:E50" si="39">_xlfn.STDEV.S(B44:C44)</f>
        <v>129.45762919893534</v>
      </c>
    </row>
    <row r="45" spans="1:5" s="3" customFormat="1" x14ac:dyDescent="0.35">
      <c r="A45" s="4">
        <v>46</v>
      </c>
      <c r="B45" s="5">
        <f t="shared" ref="B45:C50" si="40">D4/L4</f>
        <v>620.49516129032259</v>
      </c>
      <c r="C45" s="5">
        <f t="shared" si="40"/>
        <v>813.64431137724546</v>
      </c>
      <c r="D45" s="5">
        <f t="shared" si="38"/>
        <v>717.06973633378402</v>
      </c>
      <c r="E45" s="5">
        <f t="shared" si="39"/>
        <v>136.57707380688086</v>
      </c>
    </row>
    <row r="46" spans="1:5" s="3" customFormat="1" x14ac:dyDescent="0.35">
      <c r="A46" s="4">
        <v>70</v>
      </c>
      <c r="B46" s="5">
        <f t="shared" si="40"/>
        <v>904.6728538283063</v>
      </c>
      <c r="C46" s="5">
        <f t="shared" si="40"/>
        <v>862.40796963946866</v>
      </c>
      <c r="D46" s="5">
        <f t="shared" si="38"/>
        <v>883.54041173388748</v>
      </c>
      <c r="E46" s="5">
        <f t="shared" si="39"/>
        <v>29.885786215991189</v>
      </c>
    </row>
    <row r="47" spans="1:5" s="3" customFormat="1" x14ac:dyDescent="0.35">
      <c r="A47" s="4">
        <v>96</v>
      </c>
      <c r="B47" s="5">
        <f t="shared" si="40"/>
        <v>1123.1097046413502</v>
      </c>
      <c r="C47" s="5">
        <f t="shared" si="40"/>
        <v>1617.6454293628808</v>
      </c>
      <c r="D47" s="5">
        <f>AVERAGE(B47:C47)</f>
        <v>1370.3775670021155</v>
      </c>
      <c r="E47" s="5">
        <f t="shared" si="39"/>
        <v>349.68956448959733</v>
      </c>
    </row>
    <row r="48" spans="1:5" s="3" customFormat="1" x14ac:dyDescent="0.35">
      <c r="A48" s="4">
        <v>120</v>
      </c>
      <c r="B48" s="5">
        <f t="shared" si="40"/>
        <v>1520.9847328244275</v>
      </c>
      <c r="C48" s="5">
        <f t="shared" si="40"/>
        <v>1325.6067961165049</v>
      </c>
      <c r="D48" s="5">
        <f t="shared" si="38"/>
        <v>1423.2957644704661</v>
      </c>
      <c r="E48" s="5">
        <f t="shared" si="39"/>
        <v>138.15306394040815</v>
      </c>
    </row>
    <row r="49" spans="1:5" s="3" customFormat="1" x14ac:dyDescent="0.35">
      <c r="A49" s="4">
        <v>168</v>
      </c>
      <c r="B49" s="5">
        <f t="shared" si="40"/>
        <v>105.35157894736842</v>
      </c>
      <c r="C49" s="5">
        <f t="shared" si="40"/>
        <v>88.231660231660229</v>
      </c>
      <c r="D49" s="5">
        <f t="shared" si="38"/>
        <v>96.791619589514326</v>
      </c>
      <c r="E49" s="5">
        <f t="shared" si="39"/>
        <v>12.105610617239753</v>
      </c>
    </row>
    <row r="50" spans="1:5" s="3" customFormat="1" x14ac:dyDescent="0.35">
      <c r="A50" s="4">
        <v>264</v>
      </c>
      <c r="B50" s="5">
        <f t="shared" si="40"/>
        <v>7.8</v>
      </c>
      <c r="C50" s="5">
        <f t="shared" si="40"/>
        <v>6.8719008264462813</v>
      </c>
      <c r="D50" s="5">
        <f t="shared" si="38"/>
        <v>7.3359504132231406</v>
      </c>
      <c r="E50" s="5">
        <f t="shared" si="39"/>
        <v>0.65626521923346481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4053-CB05-4EF6-B909-5430756951D8}">
  <dimension ref="A1:Y50"/>
  <sheetViews>
    <sheetView topLeftCell="A40" workbookViewId="0">
      <selection activeCell="D43" sqref="D43:E5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</row>
    <row r="2" spans="1:23" x14ac:dyDescent="0.35">
      <c r="A2">
        <v>0</v>
      </c>
      <c r="B2">
        <v>704342</v>
      </c>
      <c r="C2">
        <v>827920</v>
      </c>
      <c r="D2">
        <v>704788</v>
      </c>
      <c r="E2">
        <v>828100</v>
      </c>
      <c r="F2">
        <v>446</v>
      </c>
      <c r="G2">
        <v>180</v>
      </c>
      <c r="H2">
        <v>715360</v>
      </c>
      <c r="I2">
        <v>850744</v>
      </c>
      <c r="J2">
        <v>3270</v>
      </c>
      <c r="K2">
        <v>2612</v>
      </c>
      <c r="L2">
        <v>3716</v>
      </c>
      <c r="M2">
        <v>2792</v>
      </c>
    </row>
    <row r="3" spans="1:23" x14ac:dyDescent="0.35">
      <c r="A3">
        <v>24</v>
      </c>
      <c r="B3">
        <v>1710774</v>
      </c>
      <c r="C3">
        <v>2005680</v>
      </c>
      <c r="D3">
        <v>1712908</v>
      </c>
      <c r="E3">
        <v>2006684</v>
      </c>
      <c r="F3">
        <v>2136</v>
      </c>
      <c r="G3">
        <v>1004</v>
      </c>
      <c r="H3">
        <v>1722998</v>
      </c>
      <c r="I3">
        <v>2019388</v>
      </c>
      <c r="J3">
        <v>4798</v>
      </c>
      <c r="K3">
        <v>4948</v>
      </c>
      <c r="L3">
        <v>6934</v>
      </c>
      <c r="M3">
        <v>5952</v>
      </c>
    </row>
    <row r="4" spans="1:23" x14ac:dyDescent="0.35">
      <c r="A4">
        <v>46</v>
      </c>
      <c r="B4">
        <v>3347576</v>
      </c>
      <c r="C4">
        <v>2747352</v>
      </c>
      <c r="D4">
        <v>3348872</v>
      </c>
      <c r="E4">
        <v>2748592</v>
      </c>
      <c r="F4">
        <v>1296</v>
      </c>
      <c r="G4">
        <v>1248</v>
      </c>
      <c r="H4">
        <v>3384952</v>
      </c>
      <c r="I4">
        <v>2762176</v>
      </c>
      <c r="J4">
        <v>7896</v>
      </c>
      <c r="K4">
        <v>4732</v>
      </c>
      <c r="L4">
        <v>9192</v>
      </c>
      <c r="M4">
        <v>5976</v>
      </c>
    </row>
    <row r="5" spans="1:23" x14ac:dyDescent="0.35">
      <c r="A5">
        <v>70</v>
      </c>
      <c r="B5">
        <v>3316524</v>
      </c>
      <c r="C5">
        <v>4098480</v>
      </c>
      <c r="D5">
        <v>3318776</v>
      </c>
      <c r="E5">
        <v>4099848</v>
      </c>
      <c r="F5">
        <v>1368</v>
      </c>
      <c r="G5">
        <v>2260</v>
      </c>
      <c r="H5">
        <v>3338620</v>
      </c>
      <c r="I5">
        <v>4131792</v>
      </c>
      <c r="J5">
        <v>5036</v>
      </c>
      <c r="K5">
        <v>6480</v>
      </c>
      <c r="L5">
        <v>7288</v>
      </c>
      <c r="M5">
        <v>7840</v>
      </c>
    </row>
    <row r="6" spans="1:23" x14ac:dyDescent="0.35">
      <c r="A6">
        <v>96</v>
      </c>
      <c r="B6">
        <v>5594300</v>
      </c>
      <c r="C6">
        <v>5083144</v>
      </c>
      <c r="D6">
        <v>5595460</v>
      </c>
      <c r="E6">
        <v>5084760</v>
      </c>
      <c r="F6">
        <v>1200</v>
      </c>
      <c r="G6">
        <v>1648</v>
      </c>
      <c r="H6">
        <v>5723180</v>
      </c>
      <c r="I6">
        <v>5120984</v>
      </c>
      <c r="J6">
        <v>8120</v>
      </c>
      <c r="K6">
        <v>6136</v>
      </c>
      <c r="L6">
        <v>9320</v>
      </c>
      <c r="M6">
        <v>7776</v>
      </c>
    </row>
    <row r="7" spans="1:23" x14ac:dyDescent="0.35">
      <c r="A7">
        <v>120</v>
      </c>
      <c r="B7">
        <v>4493224</v>
      </c>
      <c r="C7">
        <v>5223100</v>
      </c>
      <c r="D7">
        <v>4481872</v>
      </c>
      <c r="E7">
        <v>5209820</v>
      </c>
      <c r="F7">
        <v>1424</v>
      </c>
      <c r="G7">
        <v>760</v>
      </c>
      <c r="H7">
        <v>4881456</v>
      </c>
      <c r="I7">
        <v>5708640</v>
      </c>
      <c r="J7">
        <v>5088</v>
      </c>
      <c r="K7">
        <v>8600</v>
      </c>
      <c r="L7">
        <v>6496</v>
      </c>
      <c r="M7">
        <v>9360</v>
      </c>
    </row>
    <row r="8" spans="1:23" x14ac:dyDescent="0.35">
      <c r="A8">
        <v>168</v>
      </c>
      <c r="B8">
        <v>166808</v>
      </c>
      <c r="C8">
        <v>188660</v>
      </c>
      <c r="D8">
        <v>165384</v>
      </c>
      <c r="E8">
        <v>186680</v>
      </c>
      <c r="F8">
        <v>112</v>
      </c>
      <c r="G8">
        <v>140</v>
      </c>
      <c r="H8">
        <v>5165768</v>
      </c>
      <c r="I8">
        <v>5831020</v>
      </c>
      <c r="J8">
        <v>7304</v>
      </c>
      <c r="K8">
        <v>9160</v>
      </c>
      <c r="L8">
        <v>7408</v>
      </c>
      <c r="M8">
        <v>9300</v>
      </c>
    </row>
    <row r="9" spans="1:23" x14ac:dyDescent="0.35">
      <c r="A9">
        <v>264</v>
      </c>
      <c r="B9">
        <v>20384</v>
      </c>
      <c r="C9">
        <v>21380</v>
      </c>
      <c r="D9">
        <v>21016</v>
      </c>
      <c r="E9">
        <v>22200</v>
      </c>
      <c r="F9">
        <v>760</v>
      </c>
      <c r="G9">
        <v>880</v>
      </c>
      <c r="H9">
        <v>5261136</v>
      </c>
      <c r="I9">
        <v>5810800</v>
      </c>
      <c r="J9">
        <v>10616</v>
      </c>
      <c r="K9">
        <v>9120</v>
      </c>
      <c r="L9">
        <v>11360</v>
      </c>
      <c r="M9">
        <v>9960</v>
      </c>
    </row>
    <row r="11" spans="1:23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3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3" x14ac:dyDescent="0.35">
      <c r="A13" s="2">
        <v>0</v>
      </c>
      <c r="B13" s="2">
        <f>AVERAGE(B2:C2)</f>
        <v>766131</v>
      </c>
      <c r="C13" s="2">
        <f>_xlfn.STDEV.S(B2:C2)</f>
        <v>87382.841805471166</v>
      </c>
      <c r="F13" s="2">
        <f>AVERAGE(D2:E2)</f>
        <v>766444</v>
      </c>
      <c r="G13" s="2">
        <f>_xlfn.STDEV.S(D2:E2)</f>
        <v>87194.751401675545</v>
      </c>
      <c r="J13" s="2">
        <f>AVERAGE(F2:G2)</f>
        <v>313</v>
      </c>
      <c r="K13" s="2">
        <f>_xlfn.STDEV.S(F2:G2)</f>
        <v>188.09040379562165</v>
      </c>
      <c r="N13" s="2">
        <f>AVERAGE(H2:I2)</f>
        <v>783052</v>
      </c>
      <c r="O13" s="2">
        <f>_xlfn.STDEV.S(H2:I2)</f>
        <v>95730.944464159547</v>
      </c>
      <c r="R13" s="2">
        <f>AVERAGE(J2:K2)</f>
        <v>2941</v>
      </c>
      <c r="S13" s="2">
        <f>_xlfn.STDEV.S(J2:K2)</f>
        <v>465.27626202074828</v>
      </c>
      <c r="V13" s="2">
        <f>AVERAGE(L2:M2)</f>
        <v>3254</v>
      </c>
      <c r="W13" s="2">
        <f>_xlfn.STDEV.S(L2:M2)</f>
        <v>653.36666581636996</v>
      </c>
    </row>
    <row r="14" spans="1:23" x14ac:dyDescent="0.35">
      <c r="A14" s="2">
        <v>24</v>
      </c>
      <c r="B14" s="2">
        <f t="shared" ref="B14:B20" si="0">AVERAGE(B3:C3)</f>
        <v>1858227</v>
      </c>
      <c r="C14" s="2">
        <f>_xlfn.STDEV.S(B3:C3)</f>
        <v>208530.03241259998</v>
      </c>
      <c r="F14" s="2">
        <f t="shared" ref="F14:F20" si="1">AVERAGE(D3:E3)</f>
        <v>1859796</v>
      </c>
      <c r="G14" s="2">
        <f t="shared" ref="G14:G20" si="2">_xlfn.STDEV.S(D3:E3)</f>
        <v>207731.00174985919</v>
      </c>
      <c r="J14" s="2">
        <f t="shared" ref="J14:J20" si="3">AVERAGE(F3:G3)</f>
        <v>1570</v>
      </c>
      <c r="K14" s="2">
        <f t="shared" ref="K14:K20" si="4">_xlfn.STDEV.S(F3:G3)</f>
        <v>800.44487630317178</v>
      </c>
      <c r="N14" s="2">
        <f t="shared" ref="N14:N20" si="5">AVERAGE(H3:I3)</f>
        <v>1871193</v>
      </c>
      <c r="O14" s="2">
        <f t="shared" ref="O14:O20" si="6">_xlfn.STDEV.S(H3:I3)</f>
        <v>209579.37887588082</v>
      </c>
      <c r="R14" s="2">
        <f t="shared" ref="R14:R20" si="7">AVERAGE(J3:K3)</f>
        <v>4873</v>
      </c>
      <c r="S14" s="2">
        <f t="shared" ref="S14:S20" si="8">_xlfn.STDEV.S(J3:K3)</f>
        <v>106.06601717798213</v>
      </c>
      <c r="V14" s="2">
        <f t="shared" ref="V14:V20" si="9">AVERAGE(L3:M3)</f>
        <v>6443</v>
      </c>
      <c r="W14" s="2">
        <f t="shared" ref="W14:W20" si="10">_xlfn.STDEV.S(L3:M3)</f>
        <v>694.37885912518971</v>
      </c>
    </row>
    <row r="15" spans="1:23" x14ac:dyDescent="0.35">
      <c r="A15" s="2">
        <v>46</v>
      </c>
      <c r="B15" s="2">
        <f t="shared" si="0"/>
        <v>3047464</v>
      </c>
      <c r="C15" s="2">
        <f t="shared" ref="C15:C20" si="11">_xlfn.STDEV.S(B4:C4)</f>
        <v>424422.46063091431</v>
      </c>
      <c r="F15" s="2">
        <f t="shared" si="1"/>
        <v>3048732</v>
      </c>
      <c r="G15" s="2">
        <f t="shared" si="2"/>
        <v>424462.05861066072</v>
      </c>
      <c r="J15" s="2">
        <f t="shared" si="3"/>
        <v>1272</v>
      </c>
      <c r="K15" s="2">
        <f t="shared" si="4"/>
        <v>33.941125496954278</v>
      </c>
      <c r="N15" s="2">
        <f t="shared" si="5"/>
        <v>3073564</v>
      </c>
      <c r="O15" s="2">
        <f t="shared" si="6"/>
        <v>440369.1327602333</v>
      </c>
      <c r="R15" s="2">
        <f t="shared" si="7"/>
        <v>6314</v>
      </c>
      <c r="S15" s="2">
        <f t="shared" si="8"/>
        <v>2237.2858556742362</v>
      </c>
      <c r="V15" s="2">
        <f t="shared" si="9"/>
        <v>7584</v>
      </c>
      <c r="W15" s="2">
        <f t="shared" si="10"/>
        <v>2274.055408295937</v>
      </c>
    </row>
    <row r="16" spans="1:23" x14ac:dyDescent="0.35">
      <c r="A16" s="2">
        <v>70</v>
      </c>
      <c r="B16" s="2">
        <f t="shared" si="0"/>
        <v>3707502</v>
      </c>
      <c r="C16" s="2">
        <f t="shared" si="11"/>
        <v>552926.39018950798</v>
      </c>
      <c r="F16" s="2">
        <f t="shared" si="1"/>
        <v>3709312</v>
      </c>
      <c r="G16" s="2">
        <f t="shared" si="2"/>
        <v>552301.30779493903</v>
      </c>
      <c r="J16" s="2">
        <f t="shared" si="3"/>
        <v>1814</v>
      </c>
      <c r="K16" s="2">
        <f t="shared" si="4"/>
        <v>630.73924881840037</v>
      </c>
      <c r="N16" s="2">
        <f t="shared" si="5"/>
        <v>3735206</v>
      </c>
      <c r="O16" s="2">
        <f t="shared" si="6"/>
        <v>560857.29984729632</v>
      </c>
      <c r="R16" s="2">
        <f t="shared" si="7"/>
        <v>5758</v>
      </c>
      <c r="S16" s="2">
        <f t="shared" si="8"/>
        <v>1021.0621920333746</v>
      </c>
      <c r="V16" s="2">
        <f t="shared" si="9"/>
        <v>7564</v>
      </c>
      <c r="W16" s="2">
        <f t="shared" si="10"/>
        <v>390.32294321497426</v>
      </c>
    </row>
    <row r="17" spans="1:25" x14ac:dyDescent="0.35">
      <c r="A17" s="2">
        <v>96</v>
      </c>
      <c r="B17" s="2">
        <f t="shared" si="0"/>
        <v>5338722</v>
      </c>
      <c r="C17" s="2">
        <f t="shared" si="11"/>
        <v>361441.87384419091</v>
      </c>
      <c r="F17" s="2">
        <f t="shared" si="1"/>
        <v>5340110</v>
      </c>
      <c r="G17" s="2">
        <f t="shared" si="2"/>
        <v>361119.4331519698</v>
      </c>
      <c r="J17" s="2">
        <f t="shared" si="3"/>
        <v>1424</v>
      </c>
      <c r="K17" s="2">
        <f t="shared" si="4"/>
        <v>316.78383797157329</v>
      </c>
      <c r="N17" s="2">
        <f t="shared" si="5"/>
        <v>5422082</v>
      </c>
      <c r="O17" s="2">
        <f t="shared" si="6"/>
        <v>425816.87520341418</v>
      </c>
      <c r="R17" s="2">
        <f t="shared" si="7"/>
        <v>7128</v>
      </c>
      <c r="S17" s="2">
        <f t="shared" si="8"/>
        <v>1402.8998538741102</v>
      </c>
      <c r="V17" s="2">
        <f t="shared" si="9"/>
        <v>8548</v>
      </c>
      <c r="W17" s="2">
        <f t="shared" si="10"/>
        <v>1091.7728701520293</v>
      </c>
    </row>
    <row r="18" spans="1:25" x14ac:dyDescent="0.35">
      <c r="A18" s="2">
        <v>120</v>
      </c>
      <c r="B18" s="2">
        <f t="shared" si="0"/>
        <v>4858162</v>
      </c>
      <c r="C18" s="2">
        <f t="shared" si="11"/>
        <v>516100.26902531256</v>
      </c>
      <c r="F18" s="2">
        <f t="shared" si="1"/>
        <v>4845846</v>
      </c>
      <c r="G18" s="2">
        <f t="shared" si="2"/>
        <v>514736.96715118492</v>
      </c>
      <c r="J18" s="2">
        <f t="shared" si="3"/>
        <v>1092</v>
      </c>
      <c r="K18" s="2">
        <f t="shared" si="4"/>
        <v>469.51890270786754</v>
      </c>
      <c r="N18" s="2">
        <f t="shared" si="5"/>
        <v>5295048</v>
      </c>
      <c r="O18" s="2">
        <f t="shared" si="6"/>
        <v>584907.41568901308</v>
      </c>
      <c r="R18" s="2">
        <f t="shared" si="7"/>
        <v>6844</v>
      </c>
      <c r="S18" s="2">
        <f t="shared" si="8"/>
        <v>2483.359015527155</v>
      </c>
      <c r="V18" s="2">
        <f t="shared" si="9"/>
        <v>7928</v>
      </c>
      <c r="W18" s="2">
        <f t="shared" si="10"/>
        <v>2025.1538213182721</v>
      </c>
    </row>
    <row r="19" spans="1:25" x14ac:dyDescent="0.35">
      <c r="A19" s="2">
        <v>168</v>
      </c>
      <c r="B19" s="2">
        <f t="shared" si="0"/>
        <v>177734</v>
      </c>
      <c r="C19" s="2">
        <f t="shared" si="11"/>
        <v>15451.697382488437</v>
      </c>
      <c r="F19" s="2">
        <f t="shared" si="1"/>
        <v>176032</v>
      </c>
      <c r="G19" s="2">
        <f t="shared" si="2"/>
        <v>15058.546012148716</v>
      </c>
      <c r="J19" s="2">
        <f t="shared" si="3"/>
        <v>126</v>
      </c>
      <c r="K19" s="2">
        <f t="shared" si="4"/>
        <v>19.798989873223331</v>
      </c>
      <c r="N19" s="2">
        <f t="shared" si="5"/>
        <v>5498394</v>
      </c>
      <c r="O19" s="2">
        <f t="shared" si="6"/>
        <v>470404.20039791311</v>
      </c>
      <c r="R19" s="2">
        <f t="shared" si="7"/>
        <v>8232</v>
      </c>
      <c r="S19" s="2">
        <f t="shared" si="8"/>
        <v>1312.3901858822321</v>
      </c>
      <c r="V19" s="2">
        <f t="shared" si="9"/>
        <v>8354</v>
      </c>
      <c r="W19" s="2">
        <f t="shared" si="10"/>
        <v>1337.8460300049478</v>
      </c>
    </row>
    <row r="20" spans="1:25" x14ac:dyDescent="0.35">
      <c r="A20" s="2">
        <v>264</v>
      </c>
      <c r="B20" s="2">
        <f t="shared" si="0"/>
        <v>20882</v>
      </c>
      <c r="C20" s="2">
        <f t="shared" si="11"/>
        <v>704.27835406180134</v>
      </c>
      <c r="F20" s="2">
        <f t="shared" si="1"/>
        <v>21608</v>
      </c>
      <c r="G20" s="2">
        <f t="shared" si="2"/>
        <v>837.21442892487232</v>
      </c>
      <c r="J20" s="2">
        <f t="shared" si="3"/>
        <v>820</v>
      </c>
      <c r="K20" s="2">
        <f t="shared" si="4"/>
        <v>84.852813742385706</v>
      </c>
      <c r="N20" s="2">
        <f t="shared" si="5"/>
        <v>5535968</v>
      </c>
      <c r="O20" s="2">
        <f t="shared" si="6"/>
        <v>388671.14177412249</v>
      </c>
      <c r="R20" s="2">
        <f t="shared" si="7"/>
        <v>9868</v>
      </c>
      <c r="S20" s="2">
        <f t="shared" si="8"/>
        <v>1057.831744655075</v>
      </c>
      <c r="V20" s="2">
        <f t="shared" si="9"/>
        <v>10660</v>
      </c>
      <c r="W20" s="2">
        <f t="shared" si="10"/>
        <v>989.94949366116657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18.775467925671112</v>
      </c>
      <c r="C24" s="1">
        <f t="shared" ref="C24:C30" si="13">($A14-$A$13)/(1/LOG(2)*LOG(B14/B$13))</f>
        <v>18.775467925671112</v>
      </c>
      <c r="D24">
        <f>(B14/B13)^(1/($A14-$A13))-1</f>
        <v>3.7607627097682839E-2</v>
      </c>
      <c r="E24">
        <f>(B14/B$13)^(1/($A14-$A$13))-1</f>
        <v>3.7607627097682839E-2</v>
      </c>
      <c r="F24" s="1">
        <f t="shared" ref="F24:F30" si="14">($A14-$A13)/(1/LOG(2)*LOG(F14/F13))</f>
        <v>18.766243197778017</v>
      </c>
      <c r="G24" s="1">
        <f t="shared" ref="G24:G30" si="15">($A14-$A$13)/(1/LOG(2)*LOG(F14/F$13))</f>
        <v>18.766243197778017</v>
      </c>
      <c r="H24">
        <f>(F14/F13)^(1/($A14-$A13))-1</f>
        <v>3.7626456997610358E-2</v>
      </c>
      <c r="I24">
        <f>(F14/F$13)^(1/($A14-$A$13))-1</f>
        <v>3.7626456997610358E-2</v>
      </c>
      <c r="J24" s="1">
        <f t="shared" ref="J24:J30" si="16">($A14-$A13)/(1/LOG(2)*LOG(J14/J13))</f>
        <v>10.315792202349499</v>
      </c>
      <c r="K24" s="1">
        <f t="shared" ref="K24:K30" si="17">($A14-$A$13)/(1/LOG(2)*LOG(J14/J$13))</f>
        <v>10.315792202349499</v>
      </c>
      <c r="L24">
        <f>(J14/J13)^(1/($A14-$A13))-1</f>
        <v>6.9501680846880687E-2</v>
      </c>
      <c r="M24">
        <f>(J14/J$13)^(1/($A14-$A$13))-1</f>
        <v>6.9501680846880687E-2</v>
      </c>
      <c r="N24" s="1">
        <f t="shared" ref="N24:N30" si="18">($A14-$A13)/(1/LOG(2)*LOG(N14/N13))</f>
        <v>19.096446096195972</v>
      </c>
      <c r="O24" s="1">
        <f t="shared" ref="O24:O30" si="19">($A14-$A$13)/(1/LOG(2)*LOG(N14/N$13))</f>
        <v>19.096446096195972</v>
      </c>
      <c r="P24">
        <f>(N14/N13)^(1/($A14-$A13))-1</f>
        <v>3.6963967787657426E-2</v>
      </c>
      <c r="Q24">
        <f>(N14/N$13)^(1/($A14-$A$13))-1</f>
        <v>3.6963967787657426E-2</v>
      </c>
      <c r="R24" s="1">
        <f t="shared" ref="R24:R30" si="20">($A14-$A13)/(1/LOG(2)*LOG(R14/R13))</f>
        <v>32.944250827192008</v>
      </c>
      <c r="S24" s="1">
        <f t="shared" ref="S24:S30" si="21">($A14-$A$13)/(1/LOG(2)*LOG(R14/R$13))</f>
        <v>32.944250827192008</v>
      </c>
      <c r="T24">
        <f>(R14/R13)^(1/($A14-$A13))-1</f>
        <v>2.126290577437473E-2</v>
      </c>
      <c r="U24">
        <f>(R14/R$13)^(1/($A14-$A$13))-1</f>
        <v>2.126290577437473E-2</v>
      </c>
      <c r="V24" s="1">
        <f t="shared" ref="V24:V30" si="22">($A14-$A13)/(1/LOG(2)*LOG(V14/V13))</f>
        <v>24.352666951590376</v>
      </c>
      <c r="W24" s="1">
        <f t="shared" ref="W24:W30" si="23">($A14-$A$13)/(1/LOG(2)*LOG(V14/V$13))</f>
        <v>24.352666951590376</v>
      </c>
      <c r="X24">
        <f>(V14/V13)^(1/($A14-$A13))-1</f>
        <v>2.8871824463817974E-2</v>
      </c>
      <c r="Y24">
        <f>(V14/V$13)^(1/($A14-$A$13))-1</f>
        <v>2.8871824463817974E-2</v>
      </c>
    </row>
    <row r="25" spans="1:25" x14ac:dyDescent="0.35">
      <c r="A25" s="2">
        <v>46</v>
      </c>
      <c r="B25" s="1">
        <f t="shared" si="12"/>
        <v>30.826035741226494</v>
      </c>
      <c r="C25" s="1">
        <f t="shared" si="13"/>
        <v>23.092993465708684</v>
      </c>
      <c r="D25">
        <f t="shared" ref="D25:D30" si="24">(B15/B14)^(1/($A15-$A14))-1</f>
        <v>2.2740481488090047E-2</v>
      </c>
      <c r="E25">
        <f t="shared" ref="E25:E30" si="25">(B15/B$13)^(1/($A15-$A$13))-1</f>
        <v>3.0470480919258414E-2</v>
      </c>
      <c r="F25" s="1">
        <f t="shared" si="14"/>
        <v>30.852729316299897</v>
      </c>
      <c r="G25" s="1">
        <f t="shared" si="15"/>
        <v>23.092867452982514</v>
      </c>
      <c r="H25">
        <f t="shared" ref="H25:H30" si="26">(F15/F14)^(1/($A15-$A14))-1</f>
        <v>2.2720584737360383E-2</v>
      </c>
      <c r="I25">
        <f t="shared" ref="I25:I30" si="27">(F15/F$13)^(1/($A15-$A$13))-1</f>
        <v>3.0470649697851959E-2</v>
      </c>
      <c r="J25" s="1">
        <f t="shared" si="16"/>
        <v>-72.448045149426662</v>
      </c>
      <c r="K25" s="1">
        <f t="shared" si="17"/>
        <v>22.740034691446255</v>
      </c>
      <c r="L25">
        <f t="shared" ref="L25:L30" si="28">(J15/J14)^(1/($A15-$A14))-1</f>
        <v>-9.5218840401392058E-3</v>
      </c>
      <c r="M25">
        <f>(J15/J$13)^(1/($A15-$A$13))-1</f>
        <v>3.0950672800316825E-2</v>
      </c>
      <c r="N25" s="1">
        <f t="shared" si="18"/>
        <v>30.72822442896242</v>
      </c>
      <c r="O25" s="1">
        <f t="shared" si="19"/>
        <v>23.317910496675772</v>
      </c>
      <c r="P25">
        <f t="shared" ref="P25:P30" si="29">(N15/N14)^(1/($A15-$A14))-1</f>
        <v>2.2813686428505786E-2</v>
      </c>
      <c r="Q25">
        <f t="shared" ref="Q25:Q30" si="30">(N15/N$13)^(1/($A15-$A$13))-1</f>
        <v>3.0172182722597141E-2</v>
      </c>
      <c r="R25" s="1">
        <f t="shared" si="20"/>
        <v>58.863815221306439</v>
      </c>
      <c r="S25" s="1">
        <f t="shared" si="21"/>
        <v>41.732914779861176</v>
      </c>
      <c r="T25">
        <f t="shared" ref="T25:T30" si="31">(R15/R14)^(1/($A15-$A14))-1</f>
        <v>1.1845040957964903E-2</v>
      </c>
      <c r="U25">
        <f t="shared" ref="U25:U30" si="32">(R15/R$13)^(1/($A15-$A$13))-1</f>
        <v>1.674782290904675E-2</v>
      </c>
      <c r="V25" s="1">
        <f t="shared" si="22"/>
        <v>93.526929182857629</v>
      </c>
      <c r="W25" s="1">
        <f t="shared" si="23"/>
        <v>37.681916211988558</v>
      </c>
      <c r="X25">
        <f t="shared" ref="X25:X30" si="33">(V15/V14)^(1/($A15-$A14))-1</f>
        <v>7.4387352540341567E-3</v>
      </c>
      <c r="Y25">
        <f t="shared" ref="Y25:Y30" si="34">(V15/V$13)^(1/($A15-$A$13))-1</f>
        <v>1.8564914807928767E-2</v>
      </c>
    </row>
    <row r="26" spans="1:25" x14ac:dyDescent="0.35">
      <c r="A26" s="2">
        <v>70</v>
      </c>
      <c r="B26" s="1">
        <f t="shared" si="12"/>
        <v>84.854139697479638</v>
      </c>
      <c r="C26" s="1">
        <f t="shared" si="13"/>
        <v>30.772146108154935</v>
      </c>
      <c r="D26">
        <f t="shared" si="24"/>
        <v>8.2021449957283554E-3</v>
      </c>
      <c r="E26">
        <f t="shared" si="25"/>
        <v>2.2780755901275818E-2</v>
      </c>
      <c r="F26" s="1">
        <f t="shared" si="14"/>
        <v>84.822952022319981</v>
      </c>
      <c r="G26" s="1">
        <f t="shared" si="15"/>
        <v>30.770592370582779</v>
      </c>
      <c r="H26">
        <f t="shared" si="26"/>
        <v>8.2051730964378677E-3</v>
      </c>
      <c r="I26">
        <f t="shared" si="27"/>
        <v>2.2781919202756962E-2</v>
      </c>
      <c r="J26" s="1">
        <f t="shared" si="16"/>
        <v>46.86806268051977</v>
      </c>
      <c r="K26" s="1">
        <f t="shared" si="17"/>
        <v>27.614066975253788</v>
      </c>
      <c r="L26">
        <f t="shared" si="28"/>
        <v>1.4899231866111418E-2</v>
      </c>
      <c r="M26">
        <f>(J16/J$13)^(1/($A16-$A$13))-1</f>
        <v>2.5418923410304606E-2</v>
      </c>
      <c r="N26" s="1">
        <f t="shared" si="18"/>
        <v>85.325662392870427</v>
      </c>
      <c r="O26" s="1">
        <f t="shared" si="19"/>
        <v>31.055793282477595</v>
      </c>
      <c r="P26">
        <f t="shared" si="29"/>
        <v>8.1566343315293555E-3</v>
      </c>
      <c r="Q26">
        <f t="shared" si="30"/>
        <v>2.2570358009445179E-2</v>
      </c>
      <c r="R26" s="1">
        <f t="shared" si="20"/>
        <v>-180.46948448409449</v>
      </c>
      <c r="S26" s="1">
        <f t="shared" si="21"/>
        <v>72.219969298540505</v>
      </c>
      <c r="T26">
        <f t="shared" si="31"/>
        <v>-3.8334334764402733E-3</v>
      </c>
      <c r="U26">
        <f t="shared" si="32"/>
        <v>9.6439277326152428E-3</v>
      </c>
      <c r="V26" s="1">
        <f t="shared" si="22"/>
        <v>-6299.8724340050194</v>
      </c>
      <c r="W26" s="1">
        <f t="shared" si="23"/>
        <v>57.521555006338822</v>
      </c>
      <c r="X26">
        <f t="shared" si="33"/>
        <v>-1.1001953726130775E-4</v>
      </c>
      <c r="Y26">
        <f t="shared" si="34"/>
        <v>1.2123112682287829E-2</v>
      </c>
    </row>
    <row r="27" spans="1:25" x14ac:dyDescent="0.35">
      <c r="A27" s="2">
        <v>96</v>
      </c>
      <c r="B27" s="1">
        <f t="shared" si="12"/>
        <v>49.425245656932852</v>
      </c>
      <c r="C27" s="1">
        <f t="shared" si="13"/>
        <v>34.275536618095266</v>
      </c>
      <c r="D27">
        <f t="shared" si="24"/>
        <v>1.412295220867521E-2</v>
      </c>
      <c r="E27">
        <f t="shared" si="25"/>
        <v>2.042866200001936E-2</v>
      </c>
      <c r="F27" s="1">
        <f t="shared" si="14"/>
        <v>49.456187539721</v>
      </c>
      <c r="G27" s="1">
        <f t="shared" si="15"/>
        <v>34.278158776283838</v>
      </c>
      <c r="H27">
        <f t="shared" si="26"/>
        <v>1.4114054228510309E-2</v>
      </c>
      <c r="I27">
        <f t="shared" si="27"/>
        <v>2.0427083426137527E-2</v>
      </c>
      <c r="J27" s="1">
        <f t="shared" si="16"/>
        <v>-74.450503122468533</v>
      </c>
      <c r="K27" s="1">
        <f t="shared" si="17"/>
        <v>43.921562632770708</v>
      </c>
      <c r="L27">
        <f t="shared" si="28"/>
        <v>-9.2669690777941183E-3</v>
      </c>
      <c r="M27">
        <f t="shared" ref="M27:M30" si="35">(J17/J$13)^(1/($A17-$A$13))-1</f>
        <v>1.5906663334894988E-2</v>
      </c>
      <c r="N27" s="1">
        <f t="shared" si="18"/>
        <v>48.357777271278643</v>
      </c>
      <c r="O27" s="1">
        <f t="shared" si="19"/>
        <v>34.388056690554848</v>
      </c>
      <c r="P27">
        <f t="shared" si="29"/>
        <v>1.4436947512431519E-2</v>
      </c>
      <c r="Q27">
        <f t="shared" si="30"/>
        <v>2.0361142091162465E-2</v>
      </c>
      <c r="R27" s="1">
        <f t="shared" si="20"/>
        <v>84.434898087484299</v>
      </c>
      <c r="S27" s="1">
        <f t="shared" si="21"/>
        <v>75.164978163948177</v>
      </c>
      <c r="T27">
        <f t="shared" si="31"/>
        <v>8.2430382099405453E-3</v>
      </c>
      <c r="U27">
        <f t="shared" si="32"/>
        <v>9.2643280718633925E-3</v>
      </c>
      <c r="V27" s="1">
        <f t="shared" si="22"/>
        <v>147.36092617207618</v>
      </c>
      <c r="W27" s="1">
        <f t="shared" si="23"/>
        <v>68.897577054202358</v>
      </c>
      <c r="X27">
        <f t="shared" si="33"/>
        <v>4.7148178893998693E-3</v>
      </c>
      <c r="Y27">
        <f t="shared" si="34"/>
        <v>1.0111322513961518E-2</v>
      </c>
    </row>
    <row r="28" spans="1:25" x14ac:dyDescent="0.35">
      <c r="A28" s="2">
        <v>120</v>
      </c>
      <c r="B28" s="1">
        <f t="shared" si="12"/>
        <v>-176.36188242948393</v>
      </c>
      <c r="C28" s="1">
        <f t="shared" si="13"/>
        <v>45.03240764956039</v>
      </c>
      <c r="D28">
        <f t="shared" si="24"/>
        <v>-3.9225417146168118E-3</v>
      </c>
      <c r="E28">
        <f t="shared" si="25"/>
        <v>1.5511255509550459E-2</v>
      </c>
      <c r="F28" s="1">
        <f t="shared" si="14"/>
        <v>-171.28065457957609</v>
      </c>
      <c r="G28" s="1">
        <f t="shared" si="15"/>
        <v>45.104367002800565</v>
      </c>
      <c r="H28">
        <f t="shared" si="26"/>
        <v>-4.0386729069191718E-3</v>
      </c>
      <c r="I28">
        <f t="shared" si="27"/>
        <v>1.5486318270876653E-2</v>
      </c>
      <c r="J28" s="1">
        <f t="shared" si="16"/>
        <v>-62.667064838617421</v>
      </c>
      <c r="K28" s="1">
        <f t="shared" si="17"/>
        <v>66.565402421550701</v>
      </c>
      <c r="L28">
        <f t="shared" si="28"/>
        <v>-1.0999843368796891E-2</v>
      </c>
      <c r="M28">
        <f t="shared" si="35"/>
        <v>1.0467428930062361E-2</v>
      </c>
      <c r="N28" s="1">
        <f t="shared" si="18"/>
        <v>-701.68936075374791</v>
      </c>
      <c r="O28" s="1">
        <f t="shared" si="19"/>
        <v>43.518251275941786</v>
      </c>
      <c r="P28">
        <f t="shared" si="29"/>
        <v>-9.873385254430822E-4</v>
      </c>
      <c r="Q28">
        <f t="shared" si="30"/>
        <v>1.6055257673281753E-2</v>
      </c>
      <c r="R28" s="1">
        <f t="shared" si="20"/>
        <v>-409.15430220888555</v>
      </c>
      <c r="S28" s="1">
        <f t="shared" si="21"/>
        <v>98.479074758466183</v>
      </c>
      <c r="T28">
        <f t="shared" si="31"/>
        <v>-1.6926630830077505E-3</v>
      </c>
      <c r="U28">
        <f t="shared" si="32"/>
        <v>7.063351087844616E-3</v>
      </c>
      <c r="V28" s="1">
        <f t="shared" si="22"/>
        <v>-220.9335546973453</v>
      </c>
      <c r="W28" s="1">
        <f t="shared" si="23"/>
        <v>93.403915760370566</v>
      </c>
      <c r="X28">
        <f t="shared" si="33"/>
        <v>-3.1324394931475652E-3</v>
      </c>
      <c r="Y28">
        <f t="shared" si="34"/>
        <v>7.448568501495334E-3</v>
      </c>
    </row>
    <row r="29" spans="1:25" x14ac:dyDescent="0.35">
      <c r="A29" s="2">
        <v>168</v>
      </c>
      <c r="B29" s="1">
        <f t="shared" si="12"/>
        <v>-10.057371010441845</v>
      </c>
      <c r="C29" s="1">
        <f t="shared" si="13"/>
        <v>-79.701256648064813</v>
      </c>
      <c r="D29">
        <f t="shared" si="24"/>
        <v>-6.6598016972230889E-2</v>
      </c>
      <c r="E29">
        <f t="shared" si="25"/>
        <v>-8.6591082933484831E-3</v>
      </c>
      <c r="F29" s="1">
        <f t="shared" si="14"/>
        <v>-10.035880491855201</v>
      </c>
      <c r="G29" s="1">
        <f t="shared" si="15"/>
        <v>-79.157810932695412</v>
      </c>
      <c r="H29">
        <f t="shared" si="26"/>
        <v>-6.673575982613289E-2</v>
      </c>
      <c r="I29">
        <f t="shared" si="27"/>
        <v>-8.7182961674366899E-3</v>
      </c>
      <c r="J29" s="1">
        <f t="shared" si="16"/>
        <v>-15.406949449545621</v>
      </c>
      <c r="K29" s="1">
        <f t="shared" si="17"/>
        <v>-127.9767035174779</v>
      </c>
      <c r="L29">
        <f t="shared" si="28"/>
        <v>-4.3992246105059696E-2</v>
      </c>
      <c r="M29">
        <f t="shared" si="35"/>
        <v>-5.4015569606401526E-3</v>
      </c>
      <c r="N29" s="1">
        <f t="shared" si="18"/>
        <v>882.89618598661662</v>
      </c>
      <c r="O29" s="1">
        <f t="shared" si="19"/>
        <v>59.74756080370944</v>
      </c>
      <c r="P29">
        <f t="shared" si="29"/>
        <v>7.8539170513236556E-4</v>
      </c>
      <c r="Q29">
        <f t="shared" si="30"/>
        <v>1.1668818880629539E-2</v>
      </c>
      <c r="R29" s="1">
        <f t="shared" si="20"/>
        <v>180.1780007266882</v>
      </c>
      <c r="S29" s="1">
        <f t="shared" si="21"/>
        <v>113.13617394841019</v>
      </c>
      <c r="T29">
        <f t="shared" si="31"/>
        <v>3.8544226395680337E-3</v>
      </c>
      <c r="U29">
        <f t="shared" si="32"/>
        <v>6.1454691171958231E-3</v>
      </c>
      <c r="V29" s="1">
        <f t="shared" si="22"/>
        <v>635.67587018580366</v>
      </c>
      <c r="W29" s="1">
        <f t="shared" si="23"/>
        <v>123.50644569660588</v>
      </c>
      <c r="X29">
        <f t="shared" si="33"/>
        <v>1.0910044846945688E-3</v>
      </c>
      <c r="Y29">
        <f t="shared" si="34"/>
        <v>5.6280129578176741E-3</v>
      </c>
    </row>
    <row r="30" spans="1:25" x14ac:dyDescent="0.35">
      <c r="A30" s="2">
        <v>264</v>
      </c>
      <c r="B30" s="1">
        <f t="shared" si="12"/>
        <v>-31.074116740694816</v>
      </c>
      <c r="C30" s="1">
        <f t="shared" si="13"/>
        <v>-50.796003206234019</v>
      </c>
      <c r="D30">
        <f t="shared" si="24"/>
        <v>-2.2059310313025104E-2</v>
      </c>
      <c r="E30">
        <f t="shared" si="25"/>
        <v>-1.3553022577791785E-2</v>
      </c>
      <c r="F30" s="1">
        <f t="shared" si="14"/>
        <v>-31.722950119799865</v>
      </c>
      <c r="G30" s="1">
        <f t="shared" si="15"/>
        <v>-51.276643373287818</v>
      </c>
      <c r="H30">
        <f t="shared" si="26"/>
        <v>-2.1613040127382965E-2</v>
      </c>
      <c r="I30">
        <f t="shared" si="27"/>
        <v>-1.342684043026221E-2</v>
      </c>
      <c r="J30" s="1">
        <f t="shared" si="16"/>
        <v>35.526605635082888</v>
      </c>
      <c r="K30" s="1">
        <f t="shared" si="17"/>
        <v>190.00169994748572</v>
      </c>
      <c r="L30">
        <f t="shared" si="28"/>
        <v>1.9702226985325311E-2</v>
      </c>
      <c r="M30">
        <f t="shared" si="35"/>
        <v>3.654772869727152E-3</v>
      </c>
      <c r="N30" s="1">
        <f t="shared" si="18"/>
        <v>9770.6805952464219</v>
      </c>
      <c r="O30" s="1">
        <f t="shared" si="19"/>
        <v>93.562092264170488</v>
      </c>
      <c r="P30">
        <f t="shared" si="29"/>
        <v>7.0944061762112653E-5</v>
      </c>
      <c r="Q30">
        <f t="shared" si="30"/>
        <v>7.4359292142378575E-3</v>
      </c>
      <c r="R30" s="1">
        <f t="shared" si="20"/>
        <v>367.09212804046433</v>
      </c>
      <c r="S30" s="1">
        <f t="shared" si="21"/>
        <v>151.16370878304423</v>
      </c>
      <c r="T30">
        <f t="shared" si="31"/>
        <v>1.8899942099162015E-3</v>
      </c>
      <c r="U30">
        <f t="shared" si="32"/>
        <v>4.5959364125207625E-3</v>
      </c>
      <c r="V30" s="1">
        <f t="shared" si="22"/>
        <v>272.9844446381133</v>
      </c>
      <c r="W30" s="1">
        <f t="shared" si="23"/>
        <v>154.21269820045848</v>
      </c>
      <c r="X30">
        <f t="shared" si="33"/>
        <v>2.5423716999202206E-3</v>
      </c>
      <c r="Y30">
        <f t="shared" si="34"/>
        <v>4.5048642950673567E-3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5" s="3" customFormat="1" x14ac:dyDescent="0.35">
      <c r="A33" s="4">
        <v>0</v>
      </c>
      <c r="B33" s="5">
        <f>F13/V13</f>
        <v>235.53902888752305</v>
      </c>
      <c r="C33" s="5">
        <f>G13/W13</f>
        <v>133.45454545454544</v>
      </c>
      <c r="D33" s="5">
        <f>F13/(F13+V13)*100</f>
        <v>99.577236786375948</v>
      </c>
      <c r="E33" s="5">
        <f>V13/(F13+V13)*100</f>
        <v>0.42276321362404473</v>
      </c>
    </row>
    <row r="34" spans="1:5" s="3" customFormat="1" x14ac:dyDescent="0.35">
      <c r="A34" s="4">
        <v>24</v>
      </c>
      <c r="B34" s="5">
        <f t="shared" ref="B34:C40" si="36">F14/V14</f>
        <v>288.65373273319881</v>
      </c>
      <c r="C34" s="5">
        <f t="shared" si="36"/>
        <v>299.1608961303462</v>
      </c>
      <c r="D34" s="5">
        <f>F14/(F14+V14)*100</f>
        <v>99.654760188807543</v>
      </c>
      <c r="E34" s="5">
        <f>V14/(F14+V14)*100</f>
        <v>0.34523981119245711</v>
      </c>
    </row>
    <row r="35" spans="1:5" s="3" customFormat="1" x14ac:dyDescent="0.35">
      <c r="A35" s="4">
        <v>46</v>
      </c>
      <c r="B35" s="5">
        <f t="shared" si="36"/>
        <v>401.99525316455697</v>
      </c>
      <c r="C35" s="5">
        <f t="shared" si="36"/>
        <v>186.65422885572136</v>
      </c>
      <c r="D35" s="5">
        <f>F15/(F15+V15)*100</f>
        <v>99.751858119382945</v>
      </c>
      <c r="E35" s="5">
        <f>V15/(F15+V15)*100</f>
        <v>0.24814188061705661</v>
      </c>
    </row>
    <row r="36" spans="1:5" s="3" customFormat="1" x14ac:dyDescent="0.35">
      <c r="A36" s="4">
        <v>70</v>
      </c>
      <c r="B36" s="5">
        <f t="shared" si="36"/>
        <v>490.39026969857218</v>
      </c>
      <c r="C36" s="5">
        <f t="shared" si="36"/>
        <v>1414.9855072463768</v>
      </c>
      <c r="D36" s="5">
        <f>F16/(F16+V16)*100</f>
        <v>99.796495766875196</v>
      </c>
      <c r="E36" s="5">
        <f>V16/(F16+V16)*100</f>
        <v>0.20350423312480698</v>
      </c>
    </row>
    <row r="37" spans="1:5" s="3" customFormat="1" x14ac:dyDescent="0.35">
      <c r="A37" s="4">
        <v>96</v>
      </c>
      <c r="B37" s="5">
        <f t="shared" si="36"/>
        <v>624.72040243331776</v>
      </c>
      <c r="C37" s="5">
        <f t="shared" si="36"/>
        <v>330.7642487046632</v>
      </c>
      <c r="D37" s="5">
        <f>F17/(F17+V17)*100</f>
        <v>99.840184210693593</v>
      </c>
      <c r="E37" s="5">
        <f>V17/(F17+V17)*100</f>
        <v>0.15981578930640172</v>
      </c>
    </row>
    <row r="38" spans="1:5" s="3" customFormat="1" x14ac:dyDescent="0.35">
      <c r="A38" s="4">
        <v>120</v>
      </c>
      <c r="B38" s="5">
        <f t="shared" si="36"/>
        <v>611.23183652875878</v>
      </c>
      <c r="C38" s="5">
        <f t="shared" si="36"/>
        <v>254.17178770949721</v>
      </c>
      <c r="D38" s="5">
        <f>F18/(F18+V18)*100</f>
        <v>99.836663182092948</v>
      </c>
      <c r="E38" s="5">
        <f>V18/(F18+V18)*100</f>
        <v>0.16333681790705543</v>
      </c>
    </row>
    <row r="39" spans="1:5" s="3" customFormat="1" x14ac:dyDescent="0.35">
      <c r="A39" s="4">
        <v>168</v>
      </c>
      <c r="B39" s="5">
        <f t="shared" si="36"/>
        <v>21.071582475460858</v>
      </c>
      <c r="C39" s="5">
        <f t="shared" si="36"/>
        <v>11.255813953488373</v>
      </c>
      <c r="D39" s="5">
        <f>F19/(F19+V19)*100</f>
        <v>95.469287256082353</v>
      </c>
      <c r="E39" s="5">
        <f>V19/(F19+V19)*100</f>
        <v>4.5307127439176513</v>
      </c>
    </row>
    <row r="40" spans="1:5" s="3" customFormat="1" x14ac:dyDescent="0.35">
      <c r="A40" s="4">
        <v>264</v>
      </c>
      <c r="B40" s="5">
        <f t="shared" si="36"/>
        <v>2.0270168855534707</v>
      </c>
      <c r="C40" s="5">
        <f>G20/W20</f>
        <v>0.84571428571428575</v>
      </c>
      <c r="D40" s="5">
        <f>F20/(F20+V20)*100</f>
        <v>66.964175034089507</v>
      </c>
      <c r="E40" s="5">
        <f>V20/(F20+V20)*100</f>
        <v>33.0358249659105</v>
      </c>
    </row>
    <row r="41" spans="1:5" s="3" customFormat="1" x14ac:dyDescent="0.35"/>
    <row r="42" spans="1:5" s="3" customFormat="1" ht="43.5" x14ac:dyDescent="0.35">
      <c r="A42" s="3" t="s">
        <v>0</v>
      </c>
      <c r="B42" s="3" t="s">
        <v>56</v>
      </c>
      <c r="C42" s="3" t="s">
        <v>57</v>
      </c>
      <c r="D42" s="3" t="s">
        <v>60</v>
      </c>
      <c r="E42" s="3" t="s">
        <v>47</v>
      </c>
    </row>
    <row r="43" spans="1:5" s="3" customFormat="1" x14ac:dyDescent="0.35">
      <c r="A43" s="4">
        <v>0</v>
      </c>
      <c r="B43" s="5">
        <f>D2/L2</f>
        <v>189.66307857911733</v>
      </c>
      <c r="C43" s="5">
        <f>E2/M2</f>
        <v>296.59742120343839</v>
      </c>
      <c r="D43" s="5">
        <f>AVERAGE(B43:C43)</f>
        <v>243.13024989127786</v>
      </c>
      <c r="E43" s="5">
        <f>_xlfn.STDEV.S(B43:C43)</f>
        <v>75.613998811383084</v>
      </c>
    </row>
    <row r="44" spans="1:5" s="3" customFormat="1" x14ac:dyDescent="0.35">
      <c r="A44" s="4">
        <v>24</v>
      </c>
      <c r="B44" s="5">
        <f>D3/L3</f>
        <v>247.03028554946638</v>
      </c>
      <c r="C44" s="5">
        <f t="shared" ref="C44" si="37">E3/M3</f>
        <v>337.14448924731181</v>
      </c>
      <c r="D44" s="5">
        <f t="shared" ref="D44:D50" si="38">AVERAGE(B44:C44)</f>
        <v>292.08738739838907</v>
      </c>
      <c r="E44" s="5">
        <f t="shared" ref="E44:E50" si="39">_xlfn.STDEV.S(B44:C44)</f>
        <v>63.720364515972648</v>
      </c>
    </row>
    <row r="45" spans="1:5" s="3" customFormat="1" x14ac:dyDescent="0.35">
      <c r="A45" s="4">
        <v>46</v>
      </c>
      <c r="B45" s="5">
        <f t="shared" ref="B45:C50" si="40">D4/L4</f>
        <v>364.32463011314184</v>
      </c>
      <c r="C45" s="5">
        <f t="shared" si="40"/>
        <v>459.93842034805891</v>
      </c>
      <c r="D45" s="5">
        <f t="shared" si="38"/>
        <v>412.13152523060035</v>
      </c>
      <c r="E45" s="5">
        <f t="shared" si="39"/>
        <v>67.60915945005803</v>
      </c>
    </row>
    <row r="46" spans="1:5" s="3" customFormat="1" x14ac:dyDescent="0.35">
      <c r="A46" s="4">
        <v>70</v>
      </c>
      <c r="B46" s="5">
        <f t="shared" si="40"/>
        <v>455.37541163556529</v>
      </c>
      <c r="C46" s="5">
        <f t="shared" si="40"/>
        <v>522.93979591836739</v>
      </c>
      <c r="D46" s="5">
        <f t="shared" si="38"/>
        <v>489.15760377696631</v>
      </c>
      <c r="E46" s="5">
        <f t="shared" si="39"/>
        <v>47.775234293063157</v>
      </c>
    </row>
    <row r="47" spans="1:5" s="3" customFormat="1" x14ac:dyDescent="0.35">
      <c r="A47" s="4">
        <v>96</v>
      </c>
      <c r="B47" s="5">
        <f t="shared" si="40"/>
        <v>600.37124463519308</v>
      </c>
      <c r="C47" s="5">
        <f t="shared" si="40"/>
        <v>653.90432098765427</v>
      </c>
      <c r="D47" s="5">
        <f>AVERAGE(B47:C47)</f>
        <v>627.13778281142368</v>
      </c>
      <c r="E47" s="5">
        <f t="shared" si="39"/>
        <v>37.853601306602521</v>
      </c>
    </row>
    <row r="48" spans="1:5" s="3" customFormat="1" x14ac:dyDescent="0.35">
      <c r="A48" s="4">
        <v>120</v>
      </c>
      <c r="B48" s="5">
        <f t="shared" si="40"/>
        <v>689.94334975369463</v>
      </c>
      <c r="C48" s="5">
        <f t="shared" si="40"/>
        <v>556.60470085470081</v>
      </c>
      <c r="D48" s="5">
        <f t="shared" si="38"/>
        <v>623.27402530419772</v>
      </c>
      <c r="E48" s="5">
        <f t="shared" si="39"/>
        <v>94.284662830731008</v>
      </c>
    </row>
    <row r="49" spans="1:5" s="3" customFormat="1" x14ac:dyDescent="0.35">
      <c r="A49" s="4">
        <v>168</v>
      </c>
      <c r="B49" s="5">
        <f t="shared" si="40"/>
        <v>22.325053995680346</v>
      </c>
      <c r="C49" s="5">
        <f t="shared" si="40"/>
        <v>20.073118279569893</v>
      </c>
      <c r="D49" s="5">
        <f t="shared" si="38"/>
        <v>21.19908613762512</v>
      </c>
      <c r="E49" s="5">
        <f t="shared" si="39"/>
        <v>1.5923590156578848</v>
      </c>
    </row>
    <row r="50" spans="1:5" s="3" customFormat="1" x14ac:dyDescent="0.35">
      <c r="A50" s="4">
        <v>264</v>
      </c>
      <c r="B50" s="5">
        <f t="shared" si="40"/>
        <v>1.85</v>
      </c>
      <c r="C50" s="5">
        <f t="shared" si="40"/>
        <v>2.2289156626506026</v>
      </c>
      <c r="D50" s="5">
        <f t="shared" si="38"/>
        <v>2.0394578313253016</v>
      </c>
      <c r="E50" s="5">
        <f t="shared" si="39"/>
        <v>0.26793383455803521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E81F-80AA-4AF3-AF98-EFCB9EC23368}">
  <dimension ref="A1:Y50"/>
  <sheetViews>
    <sheetView tabSelected="1" topLeftCell="A25" workbookViewId="0">
      <selection activeCell="D43" sqref="D43:E5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</row>
    <row r="2" spans="1:23" x14ac:dyDescent="0.35">
      <c r="A2">
        <v>0</v>
      </c>
      <c r="B2">
        <v>1578</v>
      </c>
      <c r="C2">
        <v>1312</v>
      </c>
      <c r="D2">
        <v>1578</v>
      </c>
      <c r="E2">
        <v>1316</v>
      </c>
      <c r="F2">
        <v>0</v>
      </c>
      <c r="G2">
        <v>4</v>
      </c>
      <c r="H2">
        <v>16788</v>
      </c>
      <c r="I2">
        <v>35592</v>
      </c>
      <c r="J2">
        <v>4192</v>
      </c>
      <c r="K2">
        <v>4636</v>
      </c>
      <c r="L2">
        <v>4190</v>
      </c>
      <c r="M2">
        <v>4640</v>
      </c>
    </row>
    <row r="3" spans="1:23" x14ac:dyDescent="0.35">
      <c r="A3">
        <v>24</v>
      </c>
      <c r="B3">
        <v>1530</v>
      </c>
      <c r="C3">
        <v>1768</v>
      </c>
      <c r="D3">
        <v>1534</v>
      </c>
      <c r="E3">
        <v>1768</v>
      </c>
      <c r="F3">
        <v>4</v>
      </c>
      <c r="G3">
        <v>0</v>
      </c>
      <c r="H3">
        <v>25532</v>
      </c>
      <c r="I3">
        <v>32800</v>
      </c>
      <c r="J3">
        <v>9972</v>
      </c>
      <c r="K3">
        <v>8908</v>
      </c>
      <c r="L3">
        <v>9972</v>
      </c>
      <c r="M3">
        <v>8908</v>
      </c>
    </row>
    <row r="4" spans="1:23" x14ac:dyDescent="0.35">
      <c r="A4">
        <v>46</v>
      </c>
      <c r="B4">
        <v>4448</v>
      </c>
      <c r="C4">
        <v>2624</v>
      </c>
      <c r="D4">
        <v>4448</v>
      </c>
      <c r="E4">
        <v>2628</v>
      </c>
      <c r="F4">
        <v>0</v>
      </c>
      <c r="G4">
        <v>4</v>
      </c>
      <c r="H4">
        <v>67368</v>
      </c>
      <c r="I4">
        <v>23156</v>
      </c>
      <c r="J4">
        <v>13128</v>
      </c>
      <c r="K4">
        <v>8980</v>
      </c>
      <c r="L4">
        <v>13128</v>
      </c>
      <c r="M4">
        <v>8984</v>
      </c>
    </row>
    <row r="5" spans="1:23" x14ac:dyDescent="0.35">
      <c r="A5">
        <v>70</v>
      </c>
      <c r="B5">
        <v>2868</v>
      </c>
      <c r="C5">
        <v>5392</v>
      </c>
      <c r="D5">
        <v>2872</v>
      </c>
      <c r="E5">
        <v>5392</v>
      </c>
      <c r="F5">
        <v>0</v>
      </c>
      <c r="G5">
        <v>4</v>
      </c>
      <c r="H5">
        <v>37460</v>
      </c>
      <c r="I5">
        <v>66744</v>
      </c>
      <c r="J5">
        <v>10268</v>
      </c>
      <c r="K5">
        <v>10496</v>
      </c>
      <c r="L5">
        <v>10268</v>
      </c>
      <c r="M5">
        <v>10496</v>
      </c>
    </row>
    <row r="6" spans="1:23" x14ac:dyDescent="0.35">
      <c r="A6">
        <v>96</v>
      </c>
      <c r="B6">
        <v>10160</v>
      </c>
      <c r="C6">
        <v>10744</v>
      </c>
      <c r="D6">
        <v>10160</v>
      </c>
      <c r="E6">
        <v>10744</v>
      </c>
      <c r="F6">
        <v>0</v>
      </c>
      <c r="G6">
        <v>0</v>
      </c>
      <c r="H6">
        <v>158580</v>
      </c>
      <c r="I6">
        <v>52624</v>
      </c>
      <c r="J6">
        <v>12300</v>
      </c>
      <c r="K6">
        <v>9320</v>
      </c>
      <c r="L6">
        <v>12280</v>
      </c>
      <c r="M6">
        <v>9320</v>
      </c>
    </row>
    <row r="7" spans="1:23" x14ac:dyDescent="0.35">
      <c r="A7">
        <v>120</v>
      </c>
      <c r="B7" t="s">
        <v>11</v>
      </c>
      <c r="C7" t="s">
        <v>12</v>
      </c>
      <c r="D7" t="s">
        <v>13</v>
      </c>
      <c r="E7" t="s">
        <v>12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19</v>
      </c>
    </row>
    <row r="8" spans="1:23" x14ac:dyDescent="0.35">
      <c r="A8">
        <v>168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</row>
    <row r="9" spans="1:23" x14ac:dyDescent="0.35">
      <c r="A9">
        <v>264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1" spans="1:23" x14ac:dyDescent="0.35">
      <c r="A11" t="s">
        <v>45</v>
      </c>
      <c r="B11" t="s">
        <v>1</v>
      </c>
      <c r="F11" t="s">
        <v>2</v>
      </c>
      <c r="J11" t="s">
        <v>3</v>
      </c>
      <c r="N11" t="s">
        <v>4</v>
      </c>
      <c r="R11" t="s">
        <v>5</v>
      </c>
      <c r="V11" t="s">
        <v>6</v>
      </c>
    </row>
    <row r="12" spans="1:23" x14ac:dyDescent="0.35">
      <c r="A12" t="s">
        <v>0</v>
      </c>
      <c r="B12" t="s">
        <v>46</v>
      </c>
      <c r="C12" t="s">
        <v>47</v>
      </c>
      <c r="F12" t="s">
        <v>46</v>
      </c>
      <c r="G12" t="s">
        <v>47</v>
      </c>
      <c r="J12" t="s">
        <v>46</v>
      </c>
      <c r="K12" t="s">
        <v>47</v>
      </c>
      <c r="N12" t="s">
        <v>46</v>
      </c>
      <c r="O12" t="s">
        <v>47</v>
      </c>
      <c r="R12" t="s">
        <v>46</v>
      </c>
      <c r="S12" t="s">
        <v>47</v>
      </c>
      <c r="V12" t="s">
        <v>46</v>
      </c>
      <c r="W12" t="s">
        <v>47</v>
      </c>
    </row>
    <row r="13" spans="1:23" x14ac:dyDescent="0.35">
      <c r="A13" s="2">
        <v>0</v>
      </c>
      <c r="B13" s="2">
        <f>AVERAGE(B2:C2)</f>
        <v>1445</v>
      </c>
      <c r="C13" s="2">
        <f>_xlfn.STDEV.S(B2:C2)</f>
        <v>188.09040379562165</v>
      </c>
      <c r="F13" s="2">
        <f>AVERAGE(D2:E2)</f>
        <v>1447</v>
      </c>
      <c r="G13" s="2">
        <f>_xlfn.STDEV.S(D2:E2)</f>
        <v>185.26197667087544</v>
      </c>
      <c r="J13" s="2">
        <f>AVERAGE(F2:G2)</f>
        <v>2</v>
      </c>
      <c r="K13" s="2">
        <f>_xlfn.STDEV.S(F2:G2)</f>
        <v>2.8284271247461903</v>
      </c>
      <c r="N13" s="2">
        <f>AVERAGE(H2:I2)</f>
        <v>26190</v>
      </c>
      <c r="O13" s="2">
        <f>_xlfn.STDEV.S(H2:I2)</f>
        <v>13296.43591343184</v>
      </c>
      <c r="R13" s="2">
        <f>AVERAGE(J2:K2)</f>
        <v>4414</v>
      </c>
      <c r="S13" s="2">
        <f>_xlfn.STDEV.S(J2:K2)</f>
        <v>313.95541084682708</v>
      </c>
      <c r="V13" s="2">
        <f>AVERAGE(L2:M2)</f>
        <v>4415</v>
      </c>
      <c r="W13" s="2">
        <f>_xlfn.STDEV.S(L2:M2)</f>
        <v>318.1980515339464</v>
      </c>
    </row>
    <row r="14" spans="1:23" x14ac:dyDescent="0.35">
      <c r="A14" s="2">
        <v>24</v>
      </c>
      <c r="B14" s="2">
        <f t="shared" ref="B14:B20" si="0">AVERAGE(B3:C3)</f>
        <v>1649</v>
      </c>
      <c r="C14" s="2">
        <f>_xlfn.STDEV.S(B3:C3)</f>
        <v>168.29141392239831</v>
      </c>
      <c r="F14" s="2">
        <f t="shared" ref="F14:F20" si="1">AVERAGE(D3:E3)</f>
        <v>1651</v>
      </c>
      <c r="G14" s="2">
        <f t="shared" ref="G14:G20" si="2">_xlfn.STDEV.S(D3:E3)</f>
        <v>165.46298679765212</v>
      </c>
      <c r="J14" s="2">
        <f t="shared" ref="J14:J20" si="3">AVERAGE(F3:G3)</f>
        <v>2</v>
      </c>
      <c r="K14" s="2">
        <f t="shared" ref="K14:K20" si="4">_xlfn.STDEV.S(F3:G3)</f>
        <v>2.8284271247461903</v>
      </c>
      <c r="N14" s="2">
        <f t="shared" ref="N14:N20" si="5">AVERAGE(H3:I3)</f>
        <v>29166</v>
      </c>
      <c r="O14" s="2">
        <f t="shared" ref="O14:O20" si="6">_xlfn.STDEV.S(H3:I3)</f>
        <v>5139.2520856638275</v>
      </c>
      <c r="R14" s="2">
        <f t="shared" ref="R14:R20" si="7">AVERAGE(J3:K3)</f>
        <v>9440</v>
      </c>
      <c r="S14" s="2">
        <f t="shared" ref="S14:S20" si="8">_xlfn.STDEV.S(J3:K3)</f>
        <v>752.36161518248662</v>
      </c>
      <c r="V14" s="2">
        <f t="shared" ref="V14:V20" si="9">AVERAGE(L3:M3)</f>
        <v>9440</v>
      </c>
      <c r="W14" s="2">
        <f t="shared" ref="W14:W20" si="10">_xlfn.STDEV.S(L3:M3)</f>
        <v>752.36161518248662</v>
      </c>
    </row>
    <row r="15" spans="1:23" x14ac:dyDescent="0.35">
      <c r="A15" s="2">
        <v>46</v>
      </c>
      <c r="B15" s="2">
        <f t="shared" si="0"/>
        <v>3536</v>
      </c>
      <c r="C15" s="2">
        <f t="shared" ref="C15:C20" si="11">_xlfn.STDEV.S(B4:C4)</f>
        <v>1289.7627688842626</v>
      </c>
      <c r="F15" s="2">
        <f t="shared" si="1"/>
        <v>3538</v>
      </c>
      <c r="G15" s="2">
        <f t="shared" si="2"/>
        <v>1286.9343417595164</v>
      </c>
      <c r="J15" s="2">
        <f t="shared" si="3"/>
        <v>2</v>
      </c>
      <c r="K15" s="2">
        <f t="shared" si="4"/>
        <v>2.8284271247461903</v>
      </c>
      <c r="N15" s="2">
        <f t="shared" si="5"/>
        <v>45262</v>
      </c>
      <c r="O15" s="2">
        <f t="shared" si="6"/>
        <v>31262.605009819639</v>
      </c>
      <c r="R15" s="2">
        <f t="shared" si="7"/>
        <v>11054</v>
      </c>
      <c r="S15" s="2">
        <f t="shared" si="8"/>
        <v>2933.0789283617992</v>
      </c>
      <c r="V15" s="2">
        <f t="shared" si="9"/>
        <v>11056</v>
      </c>
      <c r="W15" s="2">
        <f t="shared" si="10"/>
        <v>2930.250501237053</v>
      </c>
    </row>
    <row r="16" spans="1:23" x14ac:dyDescent="0.35">
      <c r="A16" s="2">
        <v>70</v>
      </c>
      <c r="B16" s="2">
        <f t="shared" si="0"/>
        <v>4130</v>
      </c>
      <c r="C16" s="2">
        <f t="shared" si="11"/>
        <v>1784.737515714846</v>
      </c>
      <c r="F16" s="2">
        <f t="shared" si="1"/>
        <v>4132</v>
      </c>
      <c r="G16" s="2">
        <f t="shared" si="2"/>
        <v>1781.9090885900998</v>
      </c>
      <c r="J16" s="2">
        <f t="shared" si="3"/>
        <v>2</v>
      </c>
      <c r="K16" s="2">
        <f t="shared" si="4"/>
        <v>2.8284271247461903</v>
      </c>
      <c r="N16" s="2">
        <f t="shared" si="5"/>
        <v>52102</v>
      </c>
      <c r="O16" s="2">
        <f t="shared" si="6"/>
        <v>20706.914980266858</v>
      </c>
      <c r="R16" s="2">
        <f t="shared" si="7"/>
        <v>10382</v>
      </c>
      <c r="S16" s="2">
        <f t="shared" si="8"/>
        <v>161.22034611053283</v>
      </c>
      <c r="V16" s="2">
        <f t="shared" si="9"/>
        <v>10382</v>
      </c>
      <c r="W16" s="2">
        <f t="shared" si="10"/>
        <v>161.22034611053283</v>
      </c>
    </row>
    <row r="17" spans="1:25" x14ac:dyDescent="0.35">
      <c r="A17" s="2">
        <v>96</v>
      </c>
      <c r="B17" s="2">
        <f t="shared" si="0"/>
        <v>10452</v>
      </c>
      <c r="C17" s="2">
        <f t="shared" si="11"/>
        <v>412.95036021294374</v>
      </c>
      <c r="F17" s="2">
        <f t="shared" si="1"/>
        <v>10452</v>
      </c>
      <c r="G17" s="2">
        <f t="shared" si="2"/>
        <v>412.95036021294374</v>
      </c>
      <c r="J17" s="2">
        <f t="shared" si="3"/>
        <v>0</v>
      </c>
      <c r="K17" s="2">
        <f t="shared" si="4"/>
        <v>0</v>
      </c>
      <c r="N17" s="2">
        <f t="shared" si="5"/>
        <v>105602</v>
      </c>
      <c r="O17" s="2">
        <f t="shared" si="6"/>
        <v>74922.206107401827</v>
      </c>
      <c r="R17" s="2">
        <f t="shared" si="7"/>
        <v>10810</v>
      </c>
      <c r="S17" s="2">
        <f t="shared" si="8"/>
        <v>2107.1782079359118</v>
      </c>
      <c r="V17" s="2">
        <f t="shared" si="9"/>
        <v>10800</v>
      </c>
      <c r="W17" s="2">
        <f t="shared" si="10"/>
        <v>2093.0360723121807</v>
      </c>
    </row>
    <row r="18" spans="1:25" x14ac:dyDescent="0.35">
      <c r="A18" s="2">
        <v>120</v>
      </c>
      <c r="B18" s="2" t="e">
        <f t="shared" si="0"/>
        <v>#DIV/0!</v>
      </c>
      <c r="C18" s="2" t="e">
        <f t="shared" si="11"/>
        <v>#DIV/0!</v>
      </c>
      <c r="F18" s="2" t="e">
        <f t="shared" si="1"/>
        <v>#DIV/0!</v>
      </c>
      <c r="G18" s="2" t="e">
        <f t="shared" si="2"/>
        <v>#DIV/0!</v>
      </c>
      <c r="J18" s="2" t="e">
        <f t="shared" si="3"/>
        <v>#DIV/0!</v>
      </c>
      <c r="K18" s="2" t="e">
        <f t="shared" si="4"/>
        <v>#DIV/0!</v>
      </c>
      <c r="N18" s="2" t="e">
        <f t="shared" si="5"/>
        <v>#DIV/0!</v>
      </c>
      <c r="O18" s="2" t="e">
        <f t="shared" si="6"/>
        <v>#DIV/0!</v>
      </c>
      <c r="R18" s="2" t="e">
        <f t="shared" si="7"/>
        <v>#DIV/0!</v>
      </c>
      <c r="S18" s="2" t="e">
        <f t="shared" si="8"/>
        <v>#DIV/0!</v>
      </c>
      <c r="V18" s="2" t="e">
        <f t="shared" si="9"/>
        <v>#DIV/0!</v>
      </c>
      <c r="W18" s="2" t="e">
        <f t="shared" si="10"/>
        <v>#DIV/0!</v>
      </c>
    </row>
    <row r="19" spans="1:25" x14ac:dyDescent="0.35">
      <c r="A19" s="2">
        <v>168</v>
      </c>
      <c r="B19" s="2" t="e">
        <f t="shared" si="0"/>
        <v>#DIV/0!</v>
      </c>
      <c r="C19" s="2" t="e">
        <f t="shared" si="11"/>
        <v>#DIV/0!</v>
      </c>
      <c r="F19" s="2" t="e">
        <f t="shared" si="1"/>
        <v>#DIV/0!</v>
      </c>
      <c r="G19" s="2" t="e">
        <f t="shared" si="2"/>
        <v>#DIV/0!</v>
      </c>
      <c r="J19" s="2" t="e">
        <f t="shared" si="3"/>
        <v>#DIV/0!</v>
      </c>
      <c r="K19" s="2" t="e">
        <f t="shared" si="4"/>
        <v>#DIV/0!</v>
      </c>
      <c r="N19" s="2" t="e">
        <f t="shared" si="5"/>
        <v>#DIV/0!</v>
      </c>
      <c r="O19" s="2" t="e">
        <f t="shared" si="6"/>
        <v>#DIV/0!</v>
      </c>
      <c r="R19" s="2" t="e">
        <f t="shared" si="7"/>
        <v>#DIV/0!</v>
      </c>
      <c r="S19" s="2" t="e">
        <f t="shared" si="8"/>
        <v>#DIV/0!</v>
      </c>
      <c r="V19" s="2" t="e">
        <f t="shared" si="9"/>
        <v>#DIV/0!</v>
      </c>
      <c r="W19" s="2" t="e">
        <f t="shared" si="10"/>
        <v>#DIV/0!</v>
      </c>
    </row>
    <row r="20" spans="1:25" x14ac:dyDescent="0.35">
      <c r="A20" s="2">
        <v>264</v>
      </c>
      <c r="B20" s="2" t="e">
        <f t="shared" si="0"/>
        <v>#DIV/0!</v>
      </c>
      <c r="C20" s="2" t="e">
        <f t="shared" si="11"/>
        <v>#DIV/0!</v>
      </c>
      <c r="F20" s="2" t="e">
        <f t="shared" si="1"/>
        <v>#DIV/0!</v>
      </c>
      <c r="G20" s="2" t="e">
        <f t="shared" si="2"/>
        <v>#DIV/0!</v>
      </c>
      <c r="J20" s="2" t="e">
        <f t="shared" si="3"/>
        <v>#DIV/0!</v>
      </c>
      <c r="K20" s="2" t="e">
        <f t="shared" si="4"/>
        <v>#DIV/0!</v>
      </c>
      <c r="N20" s="2" t="e">
        <f t="shared" si="5"/>
        <v>#DIV/0!</v>
      </c>
      <c r="O20" s="2" t="e">
        <f t="shared" si="6"/>
        <v>#DIV/0!</v>
      </c>
      <c r="R20" s="2" t="e">
        <f t="shared" si="7"/>
        <v>#DIV/0!</v>
      </c>
      <c r="S20" s="2" t="e">
        <f t="shared" si="8"/>
        <v>#DIV/0!</v>
      </c>
      <c r="V20" s="2" t="e">
        <f t="shared" si="9"/>
        <v>#DIV/0!</v>
      </c>
      <c r="W20" s="2" t="e">
        <f t="shared" si="10"/>
        <v>#DIV/0!</v>
      </c>
    </row>
    <row r="22" spans="1:25" x14ac:dyDescent="0.35">
      <c r="A22" t="s">
        <v>0</v>
      </c>
      <c r="B22" t="s">
        <v>48</v>
      </c>
      <c r="C22" t="s">
        <v>49</v>
      </c>
      <c r="D22" t="s">
        <v>50</v>
      </c>
      <c r="E22" t="s">
        <v>51</v>
      </c>
      <c r="F22" t="s">
        <v>48</v>
      </c>
      <c r="G22" t="s">
        <v>49</v>
      </c>
      <c r="H22" t="s">
        <v>50</v>
      </c>
      <c r="I22" t="s">
        <v>51</v>
      </c>
      <c r="J22" t="s">
        <v>48</v>
      </c>
      <c r="K22" t="s">
        <v>49</v>
      </c>
      <c r="L22" t="s">
        <v>50</v>
      </c>
      <c r="M22" t="s">
        <v>51</v>
      </c>
      <c r="N22" t="s">
        <v>48</v>
      </c>
      <c r="O22" t="s">
        <v>49</v>
      </c>
      <c r="P22" t="s">
        <v>50</v>
      </c>
      <c r="Q22" t="s">
        <v>51</v>
      </c>
      <c r="R22" t="s">
        <v>48</v>
      </c>
      <c r="S22" t="s">
        <v>49</v>
      </c>
      <c r="T22" t="s">
        <v>50</v>
      </c>
      <c r="U22" t="s">
        <v>51</v>
      </c>
      <c r="V22" t="s">
        <v>48</v>
      </c>
      <c r="W22" t="s">
        <v>49</v>
      </c>
      <c r="X22" t="s">
        <v>50</v>
      </c>
      <c r="Y22" t="s">
        <v>51</v>
      </c>
    </row>
    <row r="23" spans="1:25" x14ac:dyDescent="0.35">
      <c r="A23" s="2">
        <v>0</v>
      </c>
      <c r="C23" s="2"/>
      <c r="G23" s="2"/>
      <c r="K23" s="2"/>
      <c r="O23" s="2"/>
      <c r="S23" s="2"/>
      <c r="W23" s="2"/>
    </row>
    <row r="24" spans="1:25" x14ac:dyDescent="0.35">
      <c r="A24" s="2">
        <v>24</v>
      </c>
      <c r="B24" s="1">
        <f t="shared" ref="B24:B30" si="12">($A14-$A13)/(1/LOG(2)*LOG(B14/B13))</f>
        <v>125.96976640457207</v>
      </c>
      <c r="C24" s="1">
        <f t="shared" ref="C24:C30" si="13">($A14-$A$13)/(1/LOG(2)*LOG(B14/B$13))</f>
        <v>125.96976640457207</v>
      </c>
      <c r="D24">
        <f>(B14/B13)^(1/($A14-$A13))-1</f>
        <v>5.5176549116615625E-3</v>
      </c>
      <c r="E24">
        <f>(B14/B$13)^(1/($A14-$A$13))-1</f>
        <v>5.5176549116615625E-3</v>
      </c>
      <c r="F24" s="1">
        <f t="shared" ref="F24:F30" si="14">($A14-$A13)/(1/LOG(2)*LOG(F14/F13))</f>
        <v>126.13309671540063</v>
      </c>
      <c r="G24" s="1">
        <f t="shared" ref="G24:G30" si="15">($A14-$A$13)/(1/LOG(2)*LOG(F14/F$13))</f>
        <v>126.13309671540063</v>
      </c>
      <c r="H24">
        <f>(F14/F13)^(1/($A14-$A13))-1</f>
        <v>5.510490425957526E-3</v>
      </c>
      <c r="I24">
        <f>(F14/F$13)^(1/($A14-$A$13))-1</f>
        <v>5.510490425957526E-3</v>
      </c>
      <c r="J24" s="1" t="e">
        <f t="shared" ref="J24:J30" si="16">($A14-$A13)/(1/LOG(2)*LOG(J14/J13))</f>
        <v>#DIV/0!</v>
      </c>
      <c r="K24" s="1" t="e">
        <f t="shared" ref="K24:K30" si="17">($A14-$A$13)/(1/LOG(2)*LOG(J14/J$13))</f>
        <v>#DIV/0!</v>
      </c>
      <c r="L24">
        <f>(J14/J13)^(1/($A14-$A13))-1</f>
        <v>0</v>
      </c>
      <c r="M24">
        <f>(J14/J$13)^(1/($A14-$A$13))-1</f>
        <v>0</v>
      </c>
      <c r="N24" s="1">
        <f t="shared" ref="N24:N30" si="18">($A14-$A13)/(1/LOG(2)*LOG(N14/N13))</f>
        <v>154.56798607182486</v>
      </c>
      <c r="O24" s="1">
        <f t="shared" ref="O24:O30" si="19">($A14-$A$13)/(1/LOG(2)*LOG(N14/N$13))</f>
        <v>154.56798607182486</v>
      </c>
      <c r="P24">
        <f>(N14/N13)^(1/($A14-$A13))-1</f>
        <v>4.4944862402704899E-3</v>
      </c>
      <c r="Q24">
        <f>(N14/N$13)^(1/($A14-$A$13))-1</f>
        <v>4.4944862402704899E-3</v>
      </c>
      <c r="R24" s="1">
        <f t="shared" ref="R24:R30" si="20">($A14-$A13)/(1/LOG(2)*LOG(R14/R13))</f>
        <v>21.88382872926497</v>
      </c>
      <c r="S24" s="1">
        <f t="shared" ref="S24:S30" si="21">($A14-$A$13)/(1/LOG(2)*LOG(R14/R$13))</f>
        <v>21.88382872926497</v>
      </c>
      <c r="T24">
        <f>(R14/R13)^(1/($A14-$A13))-1</f>
        <v>3.218090235821669E-2</v>
      </c>
      <c r="U24">
        <f>(R14/R$13)^(1/($A14-$A$13))-1</f>
        <v>3.218090235821669E-2</v>
      </c>
      <c r="V24" s="1">
        <f t="shared" ref="V24:V30" si="22">($A14-$A13)/(1/LOG(2)*LOG(V14/V13))</f>
        <v>21.890351886215566</v>
      </c>
      <c r="W24" s="1">
        <f t="shared" ref="W24:W30" si="23">($A14-$A$13)/(1/LOG(2)*LOG(V14/V$13))</f>
        <v>21.890351886215566</v>
      </c>
      <c r="X24">
        <f>(V14/V13)^(1/($A14-$A13))-1</f>
        <v>3.2171160069210503E-2</v>
      </c>
      <c r="Y24">
        <f>(V14/V$13)^(1/($A14-$A$13))-1</f>
        <v>3.2171160069210503E-2</v>
      </c>
    </row>
    <row r="25" spans="1:25" x14ac:dyDescent="0.35">
      <c r="A25" s="2">
        <v>46</v>
      </c>
      <c r="B25" s="1">
        <f t="shared" si="12"/>
        <v>19.990425023405127</v>
      </c>
      <c r="C25" s="1">
        <f t="shared" si="13"/>
        <v>35.629947250032878</v>
      </c>
      <c r="D25">
        <f t="shared" ref="D25:D30" si="24">(B15/B14)^(1/($A15-$A14))-1</f>
        <v>3.5282109503257164E-2</v>
      </c>
      <c r="E25">
        <f t="shared" ref="E25:E30" si="25">(B15/B$13)^(1/($A15-$A$13))-1</f>
        <v>1.964452471641609E-2</v>
      </c>
      <c r="F25" s="1">
        <f t="shared" si="14"/>
        <v>20.007385857861557</v>
      </c>
      <c r="G25" s="1">
        <f t="shared" si="15"/>
        <v>35.662532785003769</v>
      </c>
      <c r="H25">
        <f t="shared" ref="H25:H30" si="26">(F15/F14)^(1/($A15-$A14))-1</f>
        <v>3.5251678755313431E-2</v>
      </c>
      <c r="I25">
        <f t="shared" ref="I25:I30" si="27">(F15/F$13)^(1/($A15-$A$13))-1</f>
        <v>1.962640013920125E-2</v>
      </c>
      <c r="J25" s="1" t="e">
        <f t="shared" si="16"/>
        <v>#DIV/0!</v>
      </c>
      <c r="K25" s="1" t="e">
        <f t="shared" si="17"/>
        <v>#DIV/0!</v>
      </c>
      <c r="L25">
        <f t="shared" ref="L25:L30" si="28">(J15/J14)^(1/($A15-$A14))-1</f>
        <v>0</v>
      </c>
      <c r="M25">
        <f>(J15/J$13)^(1/($A15-$A$13))-1</f>
        <v>0</v>
      </c>
      <c r="N25" s="1">
        <f t="shared" si="18"/>
        <v>34.699615188860264</v>
      </c>
      <c r="O25" s="1">
        <f t="shared" si="19"/>
        <v>58.280649266910629</v>
      </c>
      <c r="P25">
        <f t="shared" ref="P25:P30" si="29">(N15/N14)^(1/($A15-$A14))-1</f>
        <v>2.0176492911461841E-2</v>
      </c>
      <c r="Q25">
        <f t="shared" ref="Q25:Q30" si="30">(N15/N$13)^(1/($A15-$A$13))-1</f>
        <v>1.1964270651538822E-2</v>
      </c>
      <c r="R25" s="1">
        <f t="shared" si="20"/>
        <v>96.614219257378949</v>
      </c>
      <c r="S25" s="1">
        <f t="shared" si="21"/>
        <v>34.73244734842303</v>
      </c>
      <c r="T25">
        <f t="shared" ref="T25:T30" si="31">(R15/R14)^(1/($A15-$A14))-1</f>
        <v>7.2001781278066002E-3</v>
      </c>
      <c r="U25">
        <f t="shared" ref="U25:U30" si="32">(R15/R$13)^(1/($A15-$A$13))-1</f>
        <v>2.0157229372392171E-2</v>
      </c>
      <c r="V25" s="1">
        <f t="shared" si="22"/>
        <v>96.503605868555738</v>
      </c>
      <c r="W25" s="1">
        <f t="shared" si="23"/>
        <v>34.73417316229235</v>
      </c>
      <c r="X25">
        <f t="shared" ref="X25:X30" si="33">(V15/V14)^(1/($A15-$A14))-1</f>
        <v>7.2084607175204596E-3</v>
      </c>
      <c r="Y25">
        <f t="shared" ref="Y25:Y30" si="34">(V15/V$13)^(1/($A15-$A$13))-1</f>
        <v>2.0156217807004273E-2</v>
      </c>
    </row>
    <row r="26" spans="1:25" x14ac:dyDescent="0.35">
      <c r="A26" s="2">
        <v>70</v>
      </c>
      <c r="B26" s="1">
        <f t="shared" si="12"/>
        <v>107.13161458125859</v>
      </c>
      <c r="C26" s="1">
        <f t="shared" si="13"/>
        <v>46.20241589261434</v>
      </c>
      <c r="D26">
        <f t="shared" si="24"/>
        <v>6.4910285960486647E-3</v>
      </c>
      <c r="E26">
        <f t="shared" si="25"/>
        <v>1.5115502128562497E-2</v>
      </c>
      <c r="F26" s="1">
        <f t="shared" si="14"/>
        <v>107.18773905393621</v>
      </c>
      <c r="G26" s="1">
        <f t="shared" si="15"/>
        <v>46.242000714929027</v>
      </c>
      <c r="H26">
        <f t="shared" si="26"/>
        <v>6.4876188334195284E-3</v>
      </c>
      <c r="I26">
        <f t="shared" si="27"/>
        <v>1.5102465492820238E-2</v>
      </c>
      <c r="J26" s="1" t="e">
        <f t="shared" si="16"/>
        <v>#DIV/0!</v>
      </c>
      <c r="K26" s="1" t="e">
        <f t="shared" si="17"/>
        <v>#DIV/0!</v>
      </c>
      <c r="L26">
        <f t="shared" si="28"/>
        <v>0</v>
      </c>
      <c r="M26">
        <f>(J16/J$13)^(1/($A16-$A$13))-1</f>
        <v>0</v>
      </c>
      <c r="N26" s="1">
        <f t="shared" si="18"/>
        <v>118.20423035483125</v>
      </c>
      <c r="O26" s="1">
        <f t="shared" si="19"/>
        <v>70.541569246707127</v>
      </c>
      <c r="P26">
        <f t="shared" si="29"/>
        <v>5.8812062578403879E-3</v>
      </c>
      <c r="Q26">
        <f t="shared" si="30"/>
        <v>9.8745155483250802E-3</v>
      </c>
      <c r="R26" s="1">
        <f t="shared" si="20"/>
        <v>-265.2398975745694</v>
      </c>
      <c r="S26" s="1">
        <f t="shared" si="21"/>
        <v>56.7295024573787</v>
      </c>
      <c r="T26">
        <f t="shared" si="31"/>
        <v>-2.609872346139186E-3</v>
      </c>
      <c r="U26">
        <f t="shared" si="32"/>
        <v>1.2293410758150269E-2</v>
      </c>
      <c r="V26" s="1">
        <f t="shared" si="22"/>
        <v>-264.47700862733012</v>
      </c>
      <c r="W26" s="1">
        <f t="shared" si="23"/>
        <v>56.744531384140757</v>
      </c>
      <c r="X26">
        <f t="shared" si="33"/>
        <v>-2.6173907116689987E-3</v>
      </c>
      <c r="Y26">
        <f t="shared" si="34"/>
        <v>1.2290134892004145E-2</v>
      </c>
    </row>
    <row r="27" spans="1:25" x14ac:dyDescent="0.35">
      <c r="A27" s="2">
        <v>96</v>
      </c>
      <c r="B27" s="1">
        <f t="shared" si="12"/>
        <v>19.409280880256055</v>
      </c>
      <c r="C27" s="1">
        <f t="shared" si="13"/>
        <v>33.629487303797831</v>
      </c>
      <c r="D27">
        <f t="shared" si="24"/>
        <v>3.635748967052721E-2</v>
      </c>
      <c r="E27">
        <f t="shared" si="25"/>
        <v>2.0825171533699116E-2</v>
      </c>
      <c r="F27" s="1">
        <f t="shared" si="14"/>
        <v>19.419406494960118</v>
      </c>
      <c r="G27" s="1">
        <f t="shared" si="15"/>
        <v>33.653011199990466</v>
      </c>
      <c r="H27">
        <f t="shared" si="26"/>
        <v>3.6338191905765482E-2</v>
      </c>
      <c r="I27">
        <f t="shared" si="27"/>
        <v>2.081046403628517E-2</v>
      </c>
      <c r="J27" s="1" t="e">
        <f t="shared" si="16"/>
        <v>#NUM!</v>
      </c>
      <c r="K27" s="1" t="e">
        <f t="shared" si="17"/>
        <v>#NUM!</v>
      </c>
      <c r="L27">
        <f t="shared" si="28"/>
        <v>-1</v>
      </c>
      <c r="M27">
        <f t="shared" ref="M27:M30" si="35">(J17/J$13)^(1/($A17-$A$13))-1</f>
        <v>-1</v>
      </c>
      <c r="N27" s="1">
        <f t="shared" si="18"/>
        <v>25.50954081638972</v>
      </c>
      <c r="O27" s="1">
        <f t="shared" si="19"/>
        <v>47.724410774882237</v>
      </c>
      <c r="P27">
        <f t="shared" si="29"/>
        <v>2.7544603267178669E-2</v>
      </c>
      <c r="Q27">
        <f t="shared" si="30"/>
        <v>1.4629939824216898E-2</v>
      </c>
      <c r="R27" s="1">
        <f t="shared" si="20"/>
        <v>446.1058629345485</v>
      </c>
      <c r="S27" s="1">
        <f t="shared" si="21"/>
        <v>74.291446010286322</v>
      </c>
      <c r="T27">
        <f t="shared" si="31"/>
        <v>1.5549805860937127E-3</v>
      </c>
      <c r="U27">
        <f t="shared" si="32"/>
        <v>9.3737686751620419E-3</v>
      </c>
      <c r="V27" s="1">
        <f t="shared" si="22"/>
        <v>456.5655211399357</v>
      </c>
      <c r="W27" s="1">
        <f t="shared" si="23"/>
        <v>74.38712163384335</v>
      </c>
      <c r="X27">
        <f t="shared" si="33"/>
        <v>1.5193298109335007E-3</v>
      </c>
      <c r="Y27">
        <f t="shared" si="34"/>
        <v>9.3616560129814452E-3</v>
      </c>
    </row>
    <row r="28" spans="1:25" x14ac:dyDescent="0.35">
      <c r="A28" s="2">
        <v>120</v>
      </c>
      <c r="B28" s="1" t="e">
        <f t="shared" si="12"/>
        <v>#DIV/0!</v>
      </c>
      <c r="C28" s="1" t="e">
        <f t="shared" si="13"/>
        <v>#DIV/0!</v>
      </c>
      <c r="D28" t="e">
        <f t="shared" si="24"/>
        <v>#DIV/0!</v>
      </c>
      <c r="E28" t="e">
        <f t="shared" si="25"/>
        <v>#DIV/0!</v>
      </c>
      <c r="F28" s="1" t="e">
        <f t="shared" si="14"/>
        <v>#DIV/0!</v>
      </c>
      <c r="G28" s="1" t="e">
        <f t="shared" si="15"/>
        <v>#DIV/0!</v>
      </c>
      <c r="H28" t="e">
        <f t="shared" si="26"/>
        <v>#DIV/0!</v>
      </c>
      <c r="I28" t="e">
        <f t="shared" si="27"/>
        <v>#DIV/0!</v>
      </c>
      <c r="J28" s="1" t="e">
        <f t="shared" si="16"/>
        <v>#DIV/0!</v>
      </c>
      <c r="K28" s="1" t="e">
        <f t="shared" si="17"/>
        <v>#DIV/0!</v>
      </c>
      <c r="L28" t="e">
        <f t="shared" si="28"/>
        <v>#DIV/0!</v>
      </c>
      <c r="M28" t="e">
        <f t="shared" si="35"/>
        <v>#DIV/0!</v>
      </c>
      <c r="N28" s="1" t="e">
        <f t="shared" si="18"/>
        <v>#DIV/0!</v>
      </c>
      <c r="O28" s="1" t="e">
        <f t="shared" si="19"/>
        <v>#DIV/0!</v>
      </c>
      <c r="P28" t="e">
        <f t="shared" si="29"/>
        <v>#DIV/0!</v>
      </c>
      <c r="Q28" t="e">
        <f t="shared" si="30"/>
        <v>#DIV/0!</v>
      </c>
      <c r="R28" s="1" t="e">
        <f t="shared" si="20"/>
        <v>#DIV/0!</v>
      </c>
      <c r="S28" s="1" t="e">
        <f t="shared" si="21"/>
        <v>#DIV/0!</v>
      </c>
      <c r="T28" t="e">
        <f t="shared" si="31"/>
        <v>#DIV/0!</v>
      </c>
      <c r="U28" t="e">
        <f t="shared" si="32"/>
        <v>#DIV/0!</v>
      </c>
      <c r="V28" s="1" t="e">
        <f t="shared" si="22"/>
        <v>#DIV/0!</v>
      </c>
      <c r="W28" s="1" t="e">
        <f t="shared" si="23"/>
        <v>#DIV/0!</v>
      </c>
      <c r="X28" t="e">
        <f t="shared" si="33"/>
        <v>#DIV/0!</v>
      </c>
      <c r="Y28" t="e">
        <f t="shared" si="34"/>
        <v>#DIV/0!</v>
      </c>
    </row>
    <row r="29" spans="1:25" x14ac:dyDescent="0.35">
      <c r="A29" s="2">
        <v>168</v>
      </c>
      <c r="B29" s="1" t="e">
        <f t="shared" si="12"/>
        <v>#DIV/0!</v>
      </c>
      <c r="C29" s="1" t="e">
        <f t="shared" si="13"/>
        <v>#DIV/0!</v>
      </c>
      <c r="D29" t="e">
        <f t="shared" si="24"/>
        <v>#DIV/0!</v>
      </c>
      <c r="E29" t="e">
        <f t="shared" si="25"/>
        <v>#DIV/0!</v>
      </c>
      <c r="F29" s="1" t="e">
        <f t="shared" si="14"/>
        <v>#DIV/0!</v>
      </c>
      <c r="G29" s="1" t="e">
        <f t="shared" si="15"/>
        <v>#DIV/0!</v>
      </c>
      <c r="H29" t="e">
        <f t="shared" si="26"/>
        <v>#DIV/0!</v>
      </c>
      <c r="I29" t="e">
        <f t="shared" si="27"/>
        <v>#DIV/0!</v>
      </c>
      <c r="J29" s="1" t="e">
        <f t="shared" si="16"/>
        <v>#DIV/0!</v>
      </c>
      <c r="K29" s="1" t="e">
        <f t="shared" si="17"/>
        <v>#DIV/0!</v>
      </c>
      <c r="L29" t="e">
        <f t="shared" si="28"/>
        <v>#DIV/0!</v>
      </c>
      <c r="M29" t="e">
        <f t="shared" si="35"/>
        <v>#DIV/0!</v>
      </c>
      <c r="N29" s="1" t="e">
        <f t="shared" si="18"/>
        <v>#DIV/0!</v>
      </c>
      <c r="O29" s="1" t="e">
        <f t="shared" si="19"/>
        <v>#DIV/0!</v>
      </c>
      <c r="P29" t="e">
        <f t="shared" si="29"/>
        <v>#DIV/0!</v>
      </c>
      <c r="Q29" t="e">
        <f t="shared" si="30"/>
        <v>#DIV/0!</v>
      </c>
      <c r="R29" s="1" t="e">
        <f t="shared" si="20"/>
        <v>#DIV/0!</v>
      </c>
      <c r="S29" s="1" t="e">
        <f t="shared" si="21"/>
        <v>#DIV/0!</v>
      </c>
      <c r="T29" t="e">
        <f t="shared" si="31"/>
        <v>#DIV/0!</v>
      </c>
      <c r="U29" t="e">
        <f t="shared" si="32"/>
        <v>#DIV/0!</v>
      </c>
      <c r="V29" s="1" t="e">
        <f t="shared" si="22"/>
        <v>#DIV/0!</v>
      </c>
      <c r="W29" s="1" t="e">
        <f t="shared" si="23"/>
        <v>#DIV/0!</v>
      </c>
      <c r="X29" t="e">
        <f t="shared" si="33"/>
        <v>#DIV/0!</v>
      </c>
      <c r="Y29" t="e">
        <f t="shared" si="34"/>
        <v>#DIV/0!</v>
      </c>
    </row>
    <row r="30" spans="1:25" x14ac:dyDescent="0.35">
      <c r="A30" s="2">
        <v>264</v>
      </c>
      <c r="B30" s="1" t="e">
        <f t="shared" si="12"/>
        <v>#DIV/0!</v>
      </c>
      <c r="C30" s="1" t="e">
        <f t="shared" si="13"/>
        <v>#DIV/0!</v>
      </c>
      <c r="D30" t="e">
        <f t="shared" si="24"/>
        <v>#DIV/0!</v>
      </c>
      <c r="E30" t="e">
        <f t="shared" si="25"/>
        <v>#DIV/0!</v>
      </c>
      <c r="F30" s="1" t="e">
        <f t="shared" si="14"/>
        <v>#DIV/0!</v>
      </c>
      <c r="G30" s="1" t="e">
        <f t="shared" si="15"/>
        <v>#DIV/0!</v>
      </c>
      <c r="H30" t="e">
        <f t="shared" si="26"/>
        <v>#DIV/0!</v>
      </c>
      <c r="I30" t="e">
        <f t="shared" si="27"/>
        <v>#DIV/0!</v>
      </c>
      <c r="J30" s="1" t="e">
        <f t="shared" si="16"/>
        <v>#DIV/0!</v>
      </c>
      <c r="K30" s="1" t="e">
        <f t="shared" si="17"/>
        <v>#DIV/0!</v>
      </c>
      <c r="L30" t="e">
        <f t="shared" si="28"/>
        <v>#DIV/0!</v>
      </c>
      <c r="M30" t="e">
        <f t="shared" si="35"/>
        <v>#DIV/0!</v>
      </c>
      <c r="N30" s="1" t="e">
        <f t="shared" si="18"/>
        <v>#DIV/0!</v>
      </c>
      <c r="O30" s="1" t="e">
        <f t="shared" si="19"/>
        <v>#DIV/0!</v>
      </c>
      <c r="P30" t="e">
        <f t="shared" si="29"/>
        <v>#DIV/0!</v>
      </c>
      <c r="Q30" t="e">
        <f t="shared" si="30"/>
        <v>#DIV/0!</v>
      </c>
      <c r="R30" s="1" t="e">
        <f t="shared" si="20"/>
        <v>#DIV/0!</v>
      </c>
      <c r="S30" s="1" t="e">
        <f t="shared" si="21"/>
        <v>#DIV/0!</v>
      </c>
      <c r="T30" t="e">
        <f t="shared" si="31"/>
        <v>#DIV/0!</v>
      </c>
      <c r="U30" t="e">
        <f t="shared" si="32"/>
        <v>#DIV/0!</v>
      </c>
      <c r="V30" s="1" t="e">
        <f t="shared" si="22"/>
        <v>#DIV/0!</v>
      </c>
      <c r="W30" s="1" t="e">
        <f t="shared" si="23"/>
        <v>#DIV/0!</v>
      </c>
      <c r="X30" t="e">
        <f t="shared" si="33"/>
        <v>#DIV/0!</v>
      </c>
      <c r="Y30" t="e">
        <f t="shared" si="34"/>
        <v>#DIV/0!</v>
      </c>
    </row>
    <row r="32" spans="1:25" s="3" customFormat="1" ht="43.5" x14ac:dyDescent="0.35">
      <c r="A32" s="3" t="s">
        <v>0</v>
      </c>
      <c r="B32" s="3" t="s">
        <v>52</v>
      </c>
      <c r="C32" s="3" t="s">
        <v>55</v>
      </c>
      <c r="D32" s="3" t="s">
        <v>53</v>
      </c>
      <c r="E32" s="3" t="s">
        <v>54</v>
      </c>
    </row>
    <row r="33" spans="1:5" s="3" customFormat="1" x14ac:dyDescent="0.35">
      <c r="A33" s="4">
        <v>0</v>
      </c>
      <c r="B33" s="5">
        <f>F13/V13</f>
        <v>0.3277463193657984</v>
      </c>
      <c r="C33" s="5">
        <f>G13/W13</f>
        <v>0.5822222222222222</v>
      </c>
      <c r="D33" s="5">
        <f>F13/(F13+V13)*100</f>
        <v>24.684408051859432</v>
      </c>
      <c r="E33" s="5">
        <f>V13/(F13+V13)*100</f>
        <v>75.315591948140565</v>
      </c>
    </row>
    <row r="34" spans="1:5" s="3" customFormat="1" x14ac:dyDescent="0.35">
      <c r="A34" s="4">
        <v>24</v>
      </c>
      <c r="B34" s="5">
        <f t="shared" ref="B34:C40" si="36">F14/V14</f>
        <v>0.17489406779661018</v>
      </c>
      <c r="C34" s="5">
        <f t="shared" si="36"/>
        <v>0.21992481203007516</v>
      </c>
      <c r="D34" s="5">
        <f>F14/(F14+V14)*100</f>
        <v>14.88594355783969</v>
      </c>
      <c r="E34" s="5">
        <f>V14/(F14+V14)*100</f>
        <v>85.114056442160319</v>
      </c>
    </row>
    <row r="35" spans="1:5" s="3" customFormat="1" x14ac:dyDescent="0.35">
      <c r="A35" s="4">
        <v>46</v>
      </c>
      <c r="B35" s="5">
        <f t="shared" si="36"/>
        <v>0.32000723589001445</v>
      </c>
      <c r="C35" s="5">
        <f t="shared" si="36"/>
        <v>0.43918918918918914</v>
      </c>
      <c r="D35" s="5">
        <f>F15/(F15+V15)*100</f>
        <v>24.242839523091682</v>
      </c>
      <c r="E35" s="5">
        <f>V15/(F15+V15)*100</f>
        <v>75.757160476908311</v>
      </c>
    </row>
    <row r="36" spans="1:5" s="3" customFormat="1" x14ac:dyDescent="0.35">
      <c r="A36" s="4">
        <v>70</v>
      </c>
      <c r="B36" s="5">
        <f t="shared" si="36"/>
        <v>0.39799653246002697</v>
      </c>
      <c r="C36" s="5">
        <f t="shared" si="36"/>
        <v>11.05263157894737</v>
      </c>
      <c r="D36" s="5">
        <f>F16/(F16+V16)*100</f>
        <v>28.469064351660467</v>
      </c>
      <c r="E36" s="5">
        <f>V16/(F16+V16)*100</f>
        <v>71.530935648339536</v>
      </c>
    </row>
    <row r="37" spans="1:5" s="3" customFormat="1" x14ac:dyDescent="0.35">
      <c r="A37" s="4">
        <v>96</v>
      </c>
      <c r="B37" s="5">
        <f t="shared" si="36"/>
        <v>0.96777777777777774</v>
      </c>
      <c r="C37" s="5">
        <f t="shared" si="36"/>
        <v>0.19729729729729728</v>
      </c>
      <c r="D37" s="5">
        <f>F17/(F17+V17)*100</f>
        <v>49.181253529079619</v>
      </c>
      <c r="E37" s="5">
        <f>V17/(F17+V17)*100</f>
        <v>50.818746470920381</v>
      </c>
    </row>
    <row r="38" spans="1:5" s="3" customFormat="1" x14ac:dyDescent="0.35">
      <c r="A38" s="4">
        <v>120</v>
      </c>
      <c r="B38" s="5" t="e">
        <f t="shared" si="36"/>
        <v>#DIV/0!</v>
      </c>
      <c r="C38" s="5" t="e">
        <f t="shared" si="36"/>
        <v>#DIV/0!</v>
      </c>
      <c r="D38" s="5" t="e">
        <f>F18/(F18+V18)*100</f>
        <v>#DIV/0!</v>
      </c>
      <c r="E38" s="5" t="e">
        <f>V18/(F18+V18)*100</f>
        <v>#DIV/0!</v>
      </c>
    </row>
    <row r="39" spans="1:5" s="3" customFormat="1" x14ac:dyDescent="0.35">
      <c r="A39" s="4">
        <v>168</v>
      </c>
      <c r="B39" s="5" t="e">
        <f t="shared" si="36"/>
        <v>#DIV/0!</v>
      </c>
      <c r="C39" s="5" t="e">
        <f t="shared" si="36"/>
        <v>#DIV/0!</v>
      </c>
      <c r="D39" s="5" t="e">
        <f>F19/(F19+V19)*100</f>
        <v>#DIV/0!</v>
      </c>
      <c r="E39" s="5" t="e">
        <f>V19/(F19+V19)*100</f>
        <v>#DIV/0!</v>
      </c>
    </row>
    <row r="40" spans="1:5" s="3" customFormat="1" x14ac:dyDescent="0.35">
      <c r="A40" s="4">
        <v>264</v>
      </c>
      <c r="B40" s="5" t="e">
        <f t="shared" si="36"/>
        <v>#DIV/0!</v>
      </c>
      <c r="C40" s="5" t="e">
        <f>G20/W20</f>
        <v>#DIV/0!</v>
      </c>
      <c r="D40" s="5" t="e">
        <f>F20/(F20+V20)*100</f>
        <v>#DIV/0!</v>
      </c>
      <c r="E40" s="5" t="e">
        <f>V20/(F20+V20)*100</f>
        <v>#DIV/0!</v>
      </c>
    </row>
    <row r="41" spans="1:5" s="3" customFormat="1" x14ac:dyDescent="0.35"/>
    <row r="42" spans="1:5" s="3" customFormat="1" ht="43.5" x14ac:dyDescent="0.35">
      <c r="A42" s="3" t="s">
        <v>0</v>
      </c>
      <c r="B42" s="3" t="s">
        <v>56</v>
      </c>
      <c r="C42" s="3" t="s">
        <v>57</v>
      </c>
      <c r="D42" s="3" t="s">
        <v>60</v>
      </c>
      <c r="E42" s="3" t="s">
        <v>47</v>
      </c>
    </row>
    <row r="43" spans="1:5" s="3" customFormat="1" x14ac:dyDescent="0.35">
      <c r="A43" s="4">
        <v>0</v>
      </c>
      <c r="B43" s="5">
        <f>D2/L2</f>
        <v>0.37661097852028641</v>
      </c>
      <c r="C43" s="5">
        <f>E2/M2</f>
        <v>0.2836206896551724</v>
      </c>
      <c r="D43" s="5">
        <f>AVERAGE(B43:C43)</f>
        <v>0.33011583408772938</v>
      </c>
      <c r="E43" s="5">
        <f>_xlfn.STDEV.S(B43:C43)</f>
        <v>6.5754063841018354E-2</v>
      </c>
    </row>
    <row r="44" spans="1:5" s="3" customFormat="1" x14ac:dyDescent="0.35">
      <c r="A44" s="4">
        <v>24</v>
      </c>
      <c r="B44" s="5">
        <f>D3/L3</f>
        <v>0.15383072603289211</v>
      </c>
      <c r="C44" s="5">
        <f t="shared" ref="C44" si="37">E3/M3</f>
        <v>0.19847328244274809</v>
      </c>
      <c r="D44" s="5">
        <f t="shared" ref="D44:D50" si="38">AVERAGE(B44:C44)</f>
        <v>0.1761520042378201</v>
      </c>
      <c r="E44" s="5">
        <f t="shared" ref="E44:E50" si="39">_xlfn.STDEV.S(B44:C44)</f>
        <v>3.1567054366912151E-2</v>
      </c>
    </row>
    <row r="45" spans="1:5" s="3" customFormat="1" x14ac:dyDescent="0.35">
      <c r="A45" s="4">
        <v>46</v>
      </c>
      <c r="B45" s="5">
        <f t="shared" ref="B45:C50" si="40">D4/L4</f>
        <v>0.33881779402803169</v>
      </c>
      <c r="C45" s="5">
        <f t="shared" si="40"/>
        <v>0.29252003561887802</v>
      </c>
      <c r="D45" s="5">
        <f t="shared" si="38"/>
        <v>0.31566891482345483</v>
      </c>
      <c r="E45" s="5">
        <f t="shared" si="39"/>
        <v>3.2737458924849069E-2</v>
      </c>
    </row>
    <row r="46" spans="1:5" s="3" customFormat="1" x14ac:dyDescent="0.35">
      <c r="A46" s="4">
        <v>70</v>
      </c>
      <c r="B46" s="5">
        <f t="shared" si="40"/>
        <v>0.27970393455395404</v>
      </c>
      <c r="C46" s="5">
        <f t="shared" si="40"/>
        <v>0.51371951219512191</v>
      </c>
      <c r="D46" s="5">
        <f t="shared" si="38"/>
        <v>0.39671172337453797</v>
      </c>
      <c r="E46" s="5">
        <f t="shared" si="39"/>
        <v>0.16547400185335673</v>
      </c>
    </row>
    <row r="47" spans="1:5" s="3" customFormat="1" x14ac:dyDescent="0.35">
      <c r="A47" s="4">
        <v>96</v>
      </c>
      <c r="B47" s="5">
        <f t="shared" si="40"/>
        <v>0.82736156351791534</v>
      </c>
      <c r="C47" s="5">
        <f t="shared" si="40"/>
        <v>1.1527896995708153</v>
      </c>
      <c r="D47" s="5">
        <f>AVERAGE(B47:C47)</f>
        <v>0.99007563154436529</v>
      </c>
      <c r="E47" s="5">
        <f t="shared" si="39"/>
        <v>0.23011244179190521</v>
      </c>
    </row>
    <row r="48" spans="1:5" s="3" customFormat="1" x14ac:dyDescent="0.35">
      <c r="A48" s="4">
        <v>120</v>
      </c>
      <c r="B48" s="5" t="e">
        <f t="shared" si="40"/>
        <v>#VALUE!</v>
      </c>
      <c r="C48" s="5" t="e">
        <f t="shared" si="40"/>
        <v>#VALUE!</v>
      </c>
      <c r="D48" s="5" t="e">
        <f t="shared" si="38"/>
        <v>#VALUE!</v>
      </c>
      <c r="E48" s="5" t="e">
        <f t="shared" si="39"/>
        <v>#VALUE!</v>
      </c>
    </row>
    <row r="49" spans="1:5" s="3" customFormat="1" x14ac:dyDescent="0.35">
      <c r="A49" s="4">
        <v>168</v>
      </c>
      <c r="B49" s="5" t="e">
        <f t="shared" si="40"/>
        <v>#VALUE!</v>
      </c>
      <c r="C49" s="5" t="e">
        <f t="shared" si="40"/>
        <v>#VALUE!</v>
      </c>
      <c r="D49" s="5" t="e">
        <f t="shared" si="38"/>
        <v>#VALUE!</v>
      </c>
      <c r="E49" s="5" t="e">
        <f t="shared" si="39"/>
        <v>#VALUE!</v>
      </c>
    </row>
    <row r="50" spans="1:5" s="3" customFormat="1" x14ac:dyDescent="0.35">
      <c r="A50" s="4">
        <v>264</v>
      </c>
      <c r="B50" s="5" t="e">
        <f t="shared" si="40"/>
        <v>#VALUE!</v>
      </c>
      <c r="C50" s="5" t="e">
        <f t="shared" si="40"/>
        <v>#VALUE!</v>
      </c>
      <c r="D50" s="5" t="e">
        <f t="shared" si="38"/>
        <v>#VALUE!</v>
      </c>
      <c r="E50" s="5" t="e">
        <f t="shared" si="39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1_2)7942_1_UMa_0.1</vt:lpstr>
      <vt:lpstr>3_4)7942_1_UMa_0.2</vt:lpstr>
      <vt:lpstr>5_6)7942_1_UMa_0.5</vt:lpstr>
      <vt:lpstr>7_8)7942_1_UMa_1</vt:lpstr>
      <vt:lpstr>9_10)7942_1</vt:lpstr>
      <vt:lpstr>11)7942_1_C</vt:lpstr>
      <vt:lpstr>12)7942_1_UMa_0.1_C</vt:lpstr>
      <vt:lpstr>13)7942_1_UMa_0.2_C</vt:lpstr>
      <vt:lpstr>14)7942_1_UMa_0.5_C</vt:lpstr>
      <vt:lpstr>15)7942_1_UMa_1_C</vt:lpstr>
      <vt:lpstr>16)UMa_1_C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Hasenklever</dc:creator>
  <cp:lastModifiedBy>Dennis Hasenklever</cp:lastModifiedBy>
  <dcterms:created xsi:type="dcterms:W3CDTF">2024-08-28T16:25:41Z</dcterms:created>
  <dcterms:modified xsi:type="dcterms:W3CDTF">2024-08-29T12:47:43Z</dcterms:modified>
</cp:coreProperties>
</file>