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nni\Documents\SynMibi\CRC1535_B03\I001_DH_CRC1535_B03\assays\S008_E001_DH\dataset\240828DH_S008_E001_prism_data\"/>
    </mc:Choice>
  </mc:AlternateContent>
  <xr:revisionPtr revIDLastSave="0" documentId="13_ncr:40009_{9A460203-FB48-4CB9-B20C-2A1CD8E573C6}" xr6:coauthVersionLast="47" xr6:coauthVersionMax="47" xr10:uidLastSave="{00000000-0000-0000-0000-000000000000}"/>
  <bookViews>
    <workbookView xWindow="28680" yWindow="-6030" windowWidth="29040" windowHeight="17520"/>
  </bookViews>
  <sheets>
    <sheet name="Sucrose" sheetId="1" r:id="rId1"/>
  </sheets>
  <calcPr calcId="0"/>
</workbook>
</file>

<file path=xl/calcChain.xml><?xml version="1.0" encoding="utf-8"?>
<calcChain xmlns="http://schemas.openxmlformats.org/spreadsheetml/2006/main">
  <c r="K17" i="1" l="1"/>
  <c r="I17" i="1"/>
  <c r="E14" i="1"/>
  <c r="B14" i="1"/>
  <c r="L16" i="1"/>
  <c r="L17" i="1"/>
  <c r="L18" i="1"/>
  <c r="L19" i="1"/>
  <c r="L20" i="1"/>
  <c r="L21" i="1"/>
  <c r="K16" i="1"/>
  <c r="J14" i="1"/>
  <c r="J15" i="1"/>
  <c r="J16" i="1"/>
  <c r="J17" i="1"/>
  <c r="J18" i="1"/>
  <c r="J19" i="1"/>
  <c r="J20" i="1"/>
  <c r="J21" i="1"/>
  <c r="I15" i="1"/>
  <c r="I16" i="1"/>
  <c r="I18" i="1"/>
  <c r="I19" i="1"/>
  <c r="I20" i="1"/>
  <c r="I21" i="1"/>
  <c r="K18" i="1"/>
  <c r="H21" i="1"/>
  <c r="G15" i="1"/>
  <c r="H15" i="1"/>
  <c r="G16" i="1"/>
  <c r="H16" i="1"/>
  <c r="G17" i="1"/>
  <c r="H17" i="1"/>
  <c r="G18" i="1"/>
  <c r="H18" i="1"/>
  <c r="G19" i="1"/>
  <c r="H19" i="1"/>
  <c r="G20" i="1"/>
  <c r="H20" i="1"/>
  <c r="H14" i="1"/>
  <c r="G21" i="1"/>
  <c r="G14" i="1"/>
  <c r="I14" i="1" s="1"/>
  <c r="K15" i="1" s="1"/>
  <c r="L15" i="1" s="1"/>
  <c r="K19" i="1"/>
  <c r="K20" i="1"/>
  <c r="K21" i="1"/>
  <c r="E15" i="1"/>
  <c r="F15" i="1"/>
  <c r="E16" i="1"/>
  <c r="F16" i="1"/>
  <c r="E17" i="1"/>
  <c r="F17" i="1"/>
  <c r="E18" i="1"/>
  <c r="F18" i="1"/>
  <c r="E19" i="1"/>
  <c r="F19" i="1"/>
  <c r="E20" i="1"/>
  <c r="F20" i="1"/>
  <c r="E21" i="1"/>
  <c r="F21" i="1"/>
  <c r="F14" i="1"/>
  <c r="B15" i="1"/>
  <c r="C15" i="1"/>
  <c r="B16" i="1"/>
  <c r="C16" i="1"/>
  <c r="B17" i="1"/>
  <c r="C17" i="1"/>
  <c r="B18" i="1"/>
  <c r="C18" i="1"/>
  <c r="B19" i="1"/>
  <c r="C19" i="1"/>
  <c r="B20" i="1"/>
  <c r="C20" i="1"/>
  <c r="B21" i="1"/>
  <c r="C21" i="1"/>
  <c r="C14" i="1"/>
</calcChain>
</file>

<file path=xl/sharedStrings.xml><?xml version="1.0" encoding="utf-8"?>
<sst xmlns="http://schemas.openxmlformats.org/spreadsheetml/2006/main" count="32" uniqueCount="21">
  <si>
    <t>time [h]</t>
  </si>
  <si>
    <t>9)7942_1</t>
  </si>
  <si>
    <t>10)7942_1</t>
  </si>
  <si>
    <t>11)7942_1_C</t>
  </si>
  <si>
    <t>7942_sps_cscB_total</t>
  </si>
  <si>
    <t>1710256*</t>
  </si>
  <si>
    <t>2028680*</t>
  </si>
  <si>
    <t>242984*</t>
  </si>
  <si>
    <t>275520*</t>
  </si>
  <si>
    <t>9) 7942_sps_cscB_total</t>
  </si>
  <si>
    <t>10) 7942_sps_cscB_total</t>
  </si>
  <si>
    <t>11) 7942_sps_cscB_total</t>
  </si>
  <si>
    <t>STDEV.S</t>
  </si>
  <si>
    <t>Average sucrose [g/L]</t>
  </si>
  <si>
    <t>Average [cells/µL]</t>
  </si>
  <si>
    <t>Molar mass sucrose [g/mol]</t>
  </si>
  <si>
    <t>Average sucrose [mol/cell]</t>
  </si>
  <si>
    <t>sucrose content [mol/L]</t>
  </si>
  <si>
    <t>Average sucrose [mol/L]</t>
  </si>
  <si>
    <t>production rate [mol/cell*h]</t>
  </si>
  <si>
    <t>production rate [fmol/cell*d]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</si>
</sst>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"/>
  <sheetViews>
    <sheetView tabSelected="1" workbookViewId="0">
      <selection activeCell="L10" sqref="L10"/>
    </sheetView>
  </sheetViews>
  <sheetFormatPr defaultRowHeight="14.5" x14ac:dyDescent="0.35"/>
  <cols>
    <col min="1" max="1" width="7.7265625" customWidth="1"/>
    <col min="2" max="2" width="18.08984375" bestFit="1" customWidth="1"/>
    <col min="3" max="3" width="8.453125" bestFit="1" customWidth="1"/>
    <col min="4" max="4" width="9.453125" bestFit="1" customWidth="1"/>
    <col min="5" max="5" width="19.36328125" bestFit="1" customWidth="1"/>
    <col min="6" max="6" width="11.54296875" bestFit="1" customWidth="1"/>
    <col min="7" max="7" width="24.6328125" bestFit="1" customWidth="1"/>
    <col min="8" max="8" width="11.81640625" bestFit="1" customWidth="1"/>
    <col min="9" max="9" width="24" bestFit="1" customWidth="1"/>
    <col min="10" max="10" width="24.08984375" bestFit="1" customWidth="1"/>
    <col min="11" max="11" width="25.453125" bestFit="1" customWidth="1"/>
    <col min="12" max="14" width="21.26953125" bestFit="1" customWidth="1"/>
  </cols>
  <sheetData>
    <row r="1" spans="1:14" x14ac:dyDescent="0.35">
      <c r="A1" t="s">
        <v>0</v>
      </c>
      <c r="B1" t="s">
        <v>1</v>
      </c>
      <c r="C1" t="s">
        <v>1</v>
      </c>
      <c r="D1" t="s">
        <v>2</v>
      </c>
      <c r="E1" t="s">
        <v>2</v>
      </c>
      <c r="F1" t="s">
        <v>3</v>
      </c>
      <c r="G1" t="s">
        <v>3</v>
      </c>
      <c r="I1" t="s">
        <v>9</v>
      </c>
      <c r="J1" t="s">
        <v>9</v>
      </c>
      <c r="K1" t="s">
        <v>10</v>
      </c>
      <c r="L1" t="s">
        <v>10</v>
      </c>
      <c r="M1" t="s">
        <v>11</v>
      </c>
      <c r="N1" t="s">
        <v>11</v>
      </c>
    </row>
    <row r="2" spans="1:14" x14ac:dyDescent="0.35">
      <c r="A2">
        <v>0</v>
      </c>
      <c r="B2">
        <v>-1.1399999999999999</v>
      </c>
      <c r="C2">
        <v>-1.1399999999999999</v>
      </c>
      <c r="D2">
        <v>-1.19</v>
      </c>
      <c r="E2">
        <v>-1.0900000000000001</v>
      </c>
      <c r="F2">
        <v>-1.1200000000000001</v>
      </c>
      <c r="G2">
        <v>-1.04</v>
      </c>
      <c r="I2">
        <v>718602</v>
      </c>
      <c r="J2">
        <v>762700</v>
      </c>
      <c r="K2">
        <v>688350</v>
      </c>
      <c r="L2">
        <v>778836</v>
      </c>
      <c r="M2">
        <v>714118</v>
      </c>
      <c r="N2">
        <v>760728</v>
      </c>
    </row>
    <row r="3" spans="1:14" x14ac:dyDescent="0.35">
      <c r="A3">
        <v>24</v>
      </c>
      <c r="B3">
        <v>-0.45</v>
      </c>
      <c r="C3">
        <v>-0.44</v>
      </c>
      <c r="D3">
        <v>-0.41</v>
      </c>
      <c r="E3">
        <v>-0.43</v>
      </c>
      <c r="F3">
        <v>-0.5</v>
      </c>
      <c r="G3">
        <v>-0.51</v>
      </c>
      <c r="I3">
        <v>1290816</v>
      </c>
      <c r="J3">
        <v>1456028</v>
      </c>
      <c r="K3">
        <v>1211786</v>
      </c>
      <c r="L3">
        <v>1442828</v>
      </c>
      <c r="M3">
        <v>1606268</v>
      </c>
      <c r="N3">
        <v>1954224</v>
      </c>
    </row>
    <row r="4" spans="1:14" x14ac:dyDescent="0.35">
      <c r="A4">
        <v>46</v>
      </c>
      <c r="B4">
        <v>0.4</v>
      </c>
      <c r="C4">
        <v>0.36</v>
      </c>
      <c r="D4">
        <v>0.43</v>
      </c>
      <c r="E4">
        <v>0.41</v>
      </c>
      <c r="F4">
        <v>-0.11</v>
      </c>
      <c r="G4">
        <v>-0.11</v>
      </c>
      <c r="I4">
        <v>2412960</v>
      </c>
      <c r="J4">
        <v>2033660</v>
      </c>
      <c r="K4">
        <v>2116640</v>
      </c>
      <c r="L4">
        <v>2006692</v>
      </c>
      <c r="M4">
        <v>3298512</v>
      </c>
      <c r="N4">
        <v>2701712</v>
      </c>
    </row>
    <row r="5" spans="1:14" x14ac:dyDescent="0.35">
      <c r="A5">
        <v>70</v>
      </c>
      <c r="B5">
        <v>1.1100000000000001</v>
      </c>
      <c r="C5">
        <v>1.19</v>
      </c>
      <c r="D5">
        <v>0.83</v>
      </c>
      <c r="E5">
        <v>0.75</v>
      </c>
      <c r="F5">
        <v>-0.1</v>
      </c>
      <c r="G5">
        <v>-0.09</v>
      </c>
      <c r="I5">
        <v>2478628</v>
      </c>
      <c r="J5">
        <v>2856096</v>
      </c>
      <c r="K5">
        <v>2236512</v>
      </c>
      <c r="L5">
        <v>2668888</v>
      </c>
      <c r="M5">
        <v>3168392</v>
      </c>
      <c r="N5">
        <v>3736496</v>
      </c>
    </row>
    <row r="6" spans="1:14" x14ac:dyDescent="0.35">
      <c r="A6">
        <v>96</v>
      </c>
      <c r="B6">
        <v>1.45</v>
      </c>
      <c r="C6">
        <v>1.43</v>
      </c>
      <c r="D6">
        <v>1.41</v>
      </c>
      <c r="E6">
        <v>1.34</v>
      </c>
      <c r="F6">
        <v>-0.05</v>
      </c>
      <c r="G6">
        <v>-0.04</v>
      </c>
      <c r="I6">
        <v>4177900</v>
      </c>
      <c r="J6">
        <v>3978704</v>
      </c>
      <c r="K6">
        <v>3680500</v>
      </c>
      <c r="L6">
        <v>3445736</v>
      </c>
      <c r="M6">
        <v>5141960</v>
      </c>
      <c r="N6">
        <v>4833048</v>
      </c>
    </row>
    <row r="7" spans="1:14" x14ac:dyDescent="0.35">
      <c r="A7">
        <v>120</v>
      </c>
      <c r="B7">
        <v>1.61</v>
      </c>
      <c r="C7">
        <v>1.56</v>
      </c>
      <c r="D7">
        <v>1.38</v>
      </c>
      <c r="E7">
        <v>1.31</v>
      </c>
      <c r="F7">
        <v>-0.14000000000000001</v>
      </c>
      <c r="G7">
        <v>-0.13</v>
      </c>
      <c r="I7">
        <v>3946024</v>
      </c>
      <c r="J7">
        <v>4250060</v>
      </c>
      <c r="K7">
        <v>3468264</v>
      </c>
      <c r="L7">
        <v>3672260</v>
      </c>
      <c r="M7">
        <v>3067024</v>
      </c>
      <c r="N7">
        <v>3626380</v>
      </c>
    </row>
    <row r="8" spans="1:14" x14ac:dyDescent="0.35">
      <c r="A8">
        <v>168</v>
      </c>
      <c r="B8">
        <v>2.21</v>
      </c>
      <c r="C8">
        <v>2.2000000000000002</v>
      </c>
      <c r="D8">
        <v>1.97</v>
      </c>
      <c r="E8">
        <v>1.97</v>
      </c>
      <c r="F8">
        <v>-0.04</v>
      </c>
      <c r="G8">
        <v>-0.03</v>
      </c>
      <c r="I8" t="s">
        <v>5</v>
      </c>
      <c r="J8" t="s">
        <v>6</v>
      </c>
      <c r="K8">
        <v>3451376</v>
      </c>
      <c r="L8">
        <v>3746360</v>
      </c>
      <c r="M8">
        <v>390056</v>
      </c>
      <c r="N8">
        <v>425360</v>
      </c>
    </row>
    <row r="9" spans="1:14" x14ac:dyDescent="0.35">
      <c r="A9">
        <v>264</v>
      </c>
      <c r="I9" t="s">
        <v>7</v>
      </c>
      <c r="J9" t="s">
        <v>8</v>
      </c>
      <c r="K9">
        <v>1339464</v>
      </c>
      <c r="L9">
        <v>1293380</v>
      </c>
      <c r="M9">
        <v>49608</v>
      </c>
      <c r="N9">
        <v>52560</v>
      </c>
    </row>
    <row r="11" spans="1:14" x14ac:dyDescent="0.35">
      <c r="G11" t="s">
        <v>15</v>
      </c>
      <c r="H11">
        <v>342.29649999999998</v>
      </c>
    </row>
    <row r="12" spans="1:14" x14ac:dyDescent="0.35">
      <c r="B12" t="s">
        <v>4</v>
      </c>
      <c r="E12" t="s">
        <v>4</v>
      </c>
      <c r="G12" t="s">
        <v>17</v>
      </c>
    </row>
    <row r="13" spans="1:14" x14ac:dyDescent="0.35">
      <c r="A13" t="s">
        <v>0</v>
      </c>
      <c r="B13" t="s">
        <v>14</v>
      </c>
      <c r="C13" t="s">
        <v>12</v>
      </c>
      <c r="E13" t="s">
        <v>13</v>
      </c>
      <c r="F13" t="s">
        <v>12</v>
      </c>
      <c r="G13" t="s">
        <v>18</v>
      </c>
      <c r="H13" t="s">
        <v>12</v>
      </c>
      <c r="I13" t="s">
        <v>16</v>
      </c>
      <c r="J13" t="s">
        <v>12</v>
      </c>
      <c r="K13" t="s">
        <v>19</v>
      </c>
      <c r="L13" t="s">
        <v>20</v>
      </c>
    </row>
    <row r="14" spans="1:14" x14ac:dyDescent="0.35">
      <c r="A14">
        <v>0</v>
      </c>
      <c r="B14" s="1">
        <f>AVERAGE(I2:L2)</f>
        <v>737122</v>
      </c>
      <c r="C14" s="1">
        <f>_xlfn.STDEV.S(I2:L2)</f>
        <v>41295.642481985917</v>
      </c>
      <c r="E14" s="2">
        <f>AVERAGE(B2:E2)</f>
        <v>-1.1399999999999999</v>
      </c>
      <c r="F14" s="2">
        <f>_xlfn.STDEV.S(B2:E2)</f>
        <v>4.0824829046386249E-2</v>
      </c>
      <c r="G14">
        <f>E14/$H$11</f>
        <v>-3.3304459730087803E-3</v>
      </c>
      <c r="H14">
        <f>F14/$H$11</f>
        <v>1.1926744517220086E-4</v>
      </c>
      <c r="I14">
        <f>G14/(B14*10^6)</f>
        <v>-4.5181747024356622E-15</v>
      </c>
      <c r="J14">
        <f>H14/(C14*10^6)</f>
        <v>2.8881363263503645E-15</v>
      </c>
    </row>
    <row r="15" spans="1:14" x14ac:dyDescent="0.35">
      <c r="A15">
        <v>24</v>
      </c>
      <c r="B15" s="1">
        <f>AVERAGE(I3:L3)</f>
        <v>1350364.5</v>
      </c>
      <c r="C15" s="1">
        <f>_xlfn.STDEV.S(I3:L3)</f>
        <v>118973.80465043554</v>
      </c>
      <c r="E15" s="2">
        <f>AVERAGE(B3:E3)</f>
        <v>-0.4325</v>
      </c>
      <c r="F15" s="2">
        <f>_xlfn.STDEV.S(B3:E3)</f>
        <v>1.7078251276599347E-2</v>
      </c>
      <c r="G15">
        <f t="shared" ref="G15:G20" si="0">E15/$H$11</f>
        <v>-1.2635244590581559E-3</v>
      </c>
      <c r="H15">
        <f t="shared" ref="H15:H21" si="1">F15/$H$11</f>
        <v>4.9893151921212594E-5</v>
      </c>
      <c r="I15">
        <f t="shared" ref="I15:J21" si="2">G15/(B15*10^6)</f>
        <v>-9.3569140706687411E-16</v>
      </c>
      <c r="J15">
        <f t="shared" si="2"/>
        <v>4.1936249805414576E-16</v>
      </c>
      <c r="K15">
        <f>(I15-I14)/(A15-A14)</f>
        <v>1.4927013730703285E-16</v>
      </c>
      <c r="L15">
        <f>K15*24*10^15</f>
        <v>3.5824832953687884</v>
      </c>
    </row>
    <row r="16" spans="1:14" x14ac:dyDescent="0.35">
      <c r="A16">
        <v>46</v>
      </c>
      <c r="B16" s="1">
        <f>AVERAGE(I4:L4)</f>
        <v>2142488</v>
      </c>
      <c r="C16" s="1">
        <f>_xlfn.STDEV.S(I4:L4)</f>
        <v>186285.89952722311</v>
      </c>
      <c r="E16" s="2">
        <f>AVERAGE(B4:E4)</f>
        <v>0.39999999999999997</v>
      </c>
      <c r="F16" s="2">
        <f>_xlfn.STDEV.S(B4:E4)</f>
        <v>2.9439202887759492E-2</v>
      </c>
      <c r="G16">
        <f t="shared" si="0"/>
        <v>1.1685775343890457E-3</v>
      </c>
      <c r="H16">
        <f t="shared" si="1"/>
        <v>8.6004977812392157E-5</v>
      </c>
      <c r="I16">
        <f t="shared" si="2"/>
        <v>5.4543014214737527E-16</v>
      </c>
      <c r="J16">
        <f t="shared" si="2"/>
        <v>4.6168270400854319E-16</v>
      </c>
      <c r="K16">
        <f>(I16-I15)/(A16-A15)</f>
        <v>6.7323706782465877E-17</v>
      </c>
      <c r="L16">
        <f t="shared" ref="L16:L21" si="3">K16*24*10^15</f>
        <v>1.6157689627791811</v>
      </c>
    </row>
    <row r="17" spans="1:12" x14ac:dyDescent="0.35">
      <c r="A17">
        <v>70</v>
      </c>
      <c r="B17" s="1">
        <f>AVERAGE(I5:L5)</f>
        <v>2560031</v>
      </c>
      <c r="C17" s="1">
        <f>_xlfn.STDEV.S(I5:L5)</f>
        <v>265075.66369120596</v>
      </c>
      <c r="E17" s="2">
        <f>AVERAGE(B5:E5)</f>
        <v>0.97</v>
      </c>
      <c r="F17" s="2">
        <f>_xlfn.STDEV.S(B5:E5)</f>
        <v>0.21291625896895092</v>
      </c>
      <c r="G17">
        <f t="shared" si="0"/>
        <v>2.8338005208934361E-3</v>
      </c>
      <c r="H17">
        <f t="shared" si="1"/>
        <v>6.2202289234319051E-4</v>
      </c>
      <c r="I17">
        <f>G17/(B17*10^6)</f>
        <v>1.1069399241233549E-15</v>
      </c>
      <c r="J17">
        <f t="shared" si="2"/>
        <v>2.3465861923401701E-15</v>
      </c>
      <c r="K17">
        <f>(I17-I16)/(A17-A16)</f>
        <v>2.3396240915665816E-17</v>
      </c>
      <c r="L17">
        <f t="shared" si="3"/>
        <v>0.56150978197597956</v>
      </c>
    </row>
    <row r="18" spans="1:12" x14ac:dyDescent="0.35">
      <c r="A18">
        <v>96</v>
      </c>
      <c r="B18" s="1">
        <f>AVERAGE(I6:L6)</f>
        <v>3820710</v>
      </c>
      <c r="C18" s="1">
        <f>_xlfn.STDEV.S(I6:L6)</f>
        <v>322909.24675105436</v>
      </c>
      <c r="E18" s="2">
        <f>AVERAGE(B6:E6)</f>
        <v>1.4075</v>
      </c>
      <c r="F18" s="2">
        <f>_xlfn.STDEV.S(B6:E6)</f>
        <v>4.7871355387816845E-2</v>
      </c>
      <c r="G18">
        <f t="shared" si="0"/>
        <v>4.1119321991314548E-3</v>
      </c>
      <c r="H18">
        <f t="shared" si="1"/>
        <v>1.3985347611739194E-4</v>
      </c>
      <c r="I18">
        <f t="shared" si="2"/>
        <v>1.0762220108648536E-15</v>
      </c>
      <c r="J18">
        <f t="shared" si="2"/>
        <v>4.33104587510346E-16</v>
      </c>
      <c r="K18">
        <f>(I18-I17)/(A18-A17)</f>
        <v>-1.1814582022500466E-18</v>
      </c>
      <c r="L18">
        <f t="shared" si="3"/>
        <v>-2.835499685400112E-2</v>
      </c>
    </row>
    <row r="19" spans="1:12" x14ac:dyDescent="0.35">
      <c r="A19">
        <v>120</v>
      </c>
      <c r="B19" s="1">
        <f>AVERAGE(I7:L7)</f>
        <v>3834152</v>
      </c>
      <c r="C19" s="1">
        <f>_xlfn.STDEV.S(I7:L7)</f>
        <v>339400.38158297155</v>
      </c>
      <c r="E19" s="2">
        <f>AVERAGE(B7:E7)</f>
        <v>1.4649999999999999</v>
      </c>
      <c r="F19" s="2">
        <f>_xlfn.STDEV.S(B7:E7)</f>
        <v>0.14294521094927715</v>
      </c>
      <c r="G19">
        <f t="shared" si="0"/>
        <v>4.2799152196998803E-3</v>
      </c>
      <c r="H19">
        <f t="shared" si="1"/>
        <v>4.1760640540957082E-4</v>
      </c>
      <c r="I19">
        <f t="shared" si="2"/>
        <v>1.116261227958589E-15</v>
      </c>
      <c r="J19">
        <f t="shared" si="2"/>
        <v>1.2304240892772262E-15</v>
      </c>
      <c r="K19">
        <f>(I19-I18)/(A19-A18)</f>
        <v>1.668300712238973E-18</v>
      </c>
      <c r="L19">
        <f t="shared" si="3"/>
        <v>4.0039217093735348E-2</v>
      </c>
    </row>
    <row r="20" spans="1:12" x14ac:dyDescent="0.35">
      <c r="A20">
        <v>168</v>
      </c>
      <c r="B20" s="1">
        <f>AVERAGE(I8:L8)</f>
        <v>3598868</v>
      </c>
      <c r="C20" s="1">
        <f>_xlfn.STDEV.S(I8:L8)</f>
        <v>208585.18674153253</v>
      </c>
      <c r="E20" s="2">
        <f>AVERAGE(B8:E8)</f>
        <v>2.0874999999999999</v>
      </c>
      <c r="F20" s="2">
        <f>_xlfn.STDEV.S(B8:E8)</f>
        <v>0.13573871960498232</v>
      </c>
      <c r="G20">
        <f t="shared" si="0"/>
        <v>6.0985140075928328E-3</v>
      </c>
      <c r="H20">
        <f t="shared" si="1"/>
        <v>3.9655304569279071E-4</v>
      </c>
      <c r="I20">
        <f t="shared" si="2"/>
        <v>1.6945645151733359E-15</v>
      </c>
      <c r="J20">
        <f t="shared" si="2"/>
        <v>1.9011563183735465E-15</v>
      </c>
      <c r="K20">
        <f>(I20-I19)/(A20-A19)</f>
        <v>1.2047985150307226E-17</v>
      </c>
      <c r="L20">
        <f t="shared" si="3"/>
        <v>0.28915164360737344</v>
      </c>
    </row>
    <row r="21" spans="1:12" x14ac:dyDescent="0.35">
      <c r="A21">
        <v>264</v>
      </c>
      <c r="B21" s="1">
        <f>AVERAGE(I9:L9)</f>
        <v>1316422</v>
      </c>
      <c r="C21" s="1">
        <f>_xlfn.STDEV.S(I9:L9)</f>
        <v>32586.308904200858</v>
      </c>
      <c r="E21" s="1" t="e">
        <f>AVERAGE(B9:E9)</f>
        <v>#DIV/0!</v>
      </c>
      <c r="F21" s="1" t="e">
        <f>_xlfn.STDEV.S(B9:E9)</f>
        <v>#DIV/0!</v>
      </c>
      <c r="G21" t="e">
        <f t="shared" ref="G15:G21" si="4">E21/$H$11</f>
        <v>#DIV/0!</v>
      </c>
      <c r="H21" t="e">
        <f t="shared" si="1"/>
        <v>#DIV/0!</v>
      </c>
      <c r="I21" t="e">
        <f t="shared" si="2"/>
        <v>#DIV/0!</v>
      </c>
      <c r="J21" t="e">
        <f t="shared" si="2"/>
        <v>#DIV/0!</v>
      </c>
      <c r="K21" t="e">
        <f>(I21-I20)/(A21-A20)</f>
        <v>#DIV/0!</v>
      </c>
      <c r="L21" t="e">
        <f t="shared" si="3"/>
        <v>#DIV/0!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Sucrose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Hasenklever</dc:creator>
  <cp:lastModifiedBy>Dennis Hasenklever</cp:lastModifiedBy>
  <dcterms:created xsi:type="dcterms:W3CDTF">2024-08-29T08:52:10Z</dcterms:created>
  <dcterms:modified xsi:type="dcterms:W3CDTF">2024-08-29T12:47:45Z</dcterms:modified>
</cp:coreProperties>
</file>